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s\Documents\ICG LLC\"/>
    </mc:Choice>
  </mc:AlternateContent>
  <xr:revisionPtr revIDLastSave="0" documentId="13_ncr:1_{2EB12615-9217-4B46-9F6D-F19381579C26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Cost Breakdown" sheetId="3" r:id="rId1"/>
    <sheet name="Calculator" sheetId="1" r:id="rId2"/>
    <sheet name="Quote Builde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 a="1"/>
  <c r="C10" i="2" s="1"/>
  <c r="B10" i="2" a="1"/>
  <c r="B10" i="2" s="1"/>
  <c r="A10" i="2" a="1"/>
  <c r="A10" i="2" s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T15" i="1"/>
  <c r="S15" i="1"/>
  <c r="T14" i="1"/>
  <c r="T13" i="1"/>
  <c r="T12" i="1"/>
  <c r="T11" i="1"/>
  <c r="T10" i="1"/>
  <c r="B6" i="1"/>
  <c r="E6" i="2" s="1"/>
  <c r="B5" i="1"/>
  <c r="P27" i="1" s="1"/>
  <c r="P13" i="1" l="1"/>
  <c r="Q21" i="1"/>
  <c r="Q14" i="1"/>
  <c r="R14" i="1" s="1"/>
  <c r="S14" i="1" s="1"/>
  <c r="P16" i="1"/>
  <c r="P14" i="1"/>
  <c r="P12" i="1"/>
  <c r="Q12" i="1"/>
  <c r="R12" i="1" s="1"/>
  <c r="S12" i="1" s="1"/>
  <c r="P10" i="1"/>
  <c r="Q10" i="1"/>
  <c r="Q23" i="1"/>
  <c r="Q15" i="1"/>
  <c r="Q17" i="1"/>
  <c r="Q22" i="1"/>
  <c r="R22" i="1" s="1"/>
  <c r="P24" i="1"/>
  <c r="P26" i="1"/>
  <c r="Q24" i="1"/>
  <c r="R24" i="1" s="1"/>
  <c r="Q19" i="1"/>
  <c r="R19" i="1" s="1"/>
  <c r="Q26" i="1"/>
  <c r="Q28" i="1"/>
  <c r="E5" i="2"/>
  <c r="B34" i="1"/>
  <c r="Q16" i="1"/>
  <c r="R16" i="1" s="1"/>
  <c r="S16" i="1" s="1"/>
  <c r="P18" i="1"/>
  <c r="Q25" i="1"/>
  <c r="Q11" i="1"/>
  <c r="Q18" i="1"/>
  <c r="R18" i="1" s="1"/>
  <c r="P20" i="1"/>
  <c r="Q27" i="1"/>
  <c r="R27" i="1" s="1"/>
  <c r="Q29" i="1"/>
  <c r="Q13" i="1"/>
  <c r="R13" i="1" s="1"/>
  <c r="S13" i="1" s="1"/>
  <c r="Q20" i="1"/>
  <c r="R20" i="1" s="1"/>
  <c r="P22" i="1"/>
  <c r="R10" i="1"/>
  <c r="P17" i="1"/>
  <c r="P21" i="1"/>
  <c r="R21" i="1" s="1"/>
  <c r="P25" i="1"/>
  <c r="R26" i="1"/>
  <c r="P29" i="1"/>
  <c r="R23" i="1"/>
  <c r="P28" i="1"/>
  <c r="P11" i="1"/>
  <c r="P15" i="1"/>
  <c r="P19" i="1"/>
  <c r="P23" i="1"/>
  <c r="B33" i="1" l="1"/>
  <c r="R17" i="1"/>
  <c r="R15" i="1"/>
  <c r="S10" i="1"/>
  <c r="R25" i="1"/>
  <c r="R11" i="1"/>
  <c r="S11" i="1" s="1"/>
  <c r="R29" i="1"/>
  <c r="R28" i="1"/>
  <c r="D10" i="2" l="1" a="1"/>
  <c r="D10" i="2" s="1"/>
  <c r="E10" i="2" a="1"/>
  <c r="B32" i="1"/>
  <c r="B35" i="1" s="1"/>
  <c r="E10" i="2" l="1"/>
  <c r="E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Natasha Mayr</author>
  </authors>
  <commentList>
    <comment ref="A20" authorId="0" shapeId="0" xr:uid="{5323D05B-8E95-4C9F-A1B9-9AB8E4A0D98F}">
      <text>
        <r>
          <rPr>
            <b/>
            <sz val="9"/>
            <color indexed="81"/>
            <rFont val="Tahoma"/>
            <charset val="1"/>
          </rPr>
          <t>Natasha Mayr:</t>
        </r>
        <r>
          <rPr>
            <sz val="9"/>
            <color indexed="81"/>
            <rFont val="Tahoma"/>
            <charset val="1"/>
          </rPr>
          <t xml:space="preserve">
***This is eventually what I want to get however need to get to this level. I can do 1/2 of these currently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Natasha Mayr</author>
  </authors>
  <commentList>
    <comment ref="A1" authorId="0" shapeId="0" xr:uid="{8E2D0F73-1DB1-422F-9654-DE786A96F689}">
      <text>
        <r>
          <rPr>
            <b/>
            <sz val="9"/>
            <color indexed="81"/>
            <rFont val="Tahoma"/>
            <family val="2"/>
          </rPr>
          <t>Natasha Mayr:</t>
        </r>
        <r>
          <rPr>
            <sz val="9"/>
            <color indexed="81"/>
            <rFont val="Tahoma"/>
            <family val="2"/>
          </rPr>
          <t xml:space="preserve">
Instructions: Select services, set Qty for project/setup items, and toggle maintenance where applicable.</t>
        </r>
      </text>
    </comment>
    <comment ref="D3" authorId="0" shapeId="0" xr:uid="{69F35B2D-66F3-41FA-9ECF-041000EDDB5B}">
      <text>
        <r>
          <rPr>
            <b/>
            <sz val="9"/>
            <color indexed="81"/>
            <rFont val="Tahoma"/>
            <family val="2"/>
          </rPr>
          <t>Natasha Mayr:</t>
        </r>
        <r>
          <rPr>
            <sz val="9"/>
            <color indexed="81"/>
            <rFont val="Tahoma"/>
            <family val="2"/>
          </rPr>
          <t xml:space="preserve">
Select Client Size and Price Point from Drop Down Below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<sst xmlns="http://schemas.openxmlformats.org/spreadsheetml/2006/main" count="248" uniqueCount="186">
  <si>
    <t>Select</t>
  </si>
  <si>
    <t>Qty</t>
  </si>
  <si>
    <t>Include_Maintenance</t>
  </si>
  <si>
    <t>Tier</t>
  </si>
  <si>
    <t>Service</t>
  </si>
  <si>
    <t>Billing</t>
  </si>
  <si>
    <t>Solo_Low</t>
  </si>
  <si>
    <t>Solo_High</t>
  </si>
  <si>
    <t>Solo_Maint</t>
  </si>
  <si>
    <t>Small_Low</t>
  </si>
  <si>
    <t>Small_High</t>
  </si>
  <si>
    <t>Small_Maint</t>
  </si>
  <si>
    <t>Mid_Low</t>
  </si>
  <si>
    <t>Mid_High</t>
  </si>
  <si>
    <t>Mid_Maint</t>
  </si>
  <si>
    <t>Tier 1 – Financial Clarity (Base Layer)</t>
  </si>
  <si>
    <t>Tier 2 – Insight &amp; Optimization (Mid Layer)</t>
  </si>
  <si>
    <t>Tier 3 – Strategic Growth Consulting (High-End Layer)</t>
  </si>
  <si>
    <t>Bookkeeping</t>
  </si>
  <si>
    <t>Month-end close + Reconciliations + Financial Statement Prep</t>
  </si>
  <si>
    <t>Payroll + 1099 contractor setup</t>
  </si>
  <si>
    <t>Cleanup Projects or accounting migrations</t>
  </si>
  <si>
    <t>Accounting System Overhaul</t>
  </si>
  <si>
    <t>Monthly Review Call</t>
  </si>
  <si>
    <t>KPI Dashboard Design (Power BI, Excel, Power Query)</t>
  </si>
  <si>
    <t>Monthly Performance Reviews (Revenue, COGS, Cashflow)</t>
  </si>
  <si>
    <t>Cost and Profitability analysis</t>
  </si>
  <si>
    <t>Budgeting and Forecast Templates</t>
  </si>
  <si>
    <t>Workflow Automation (Bank Feeds, Reporting Pipelines)</t>
  </si>
  <si>
    <t>Quarterly Business Health Check Packages</t>
  </si>
  <si>
    <t>Profit Optimization Report</t>
  </si>
  <si>
    <t>Fractional CFO or Outsourced Controller</t>
  </si>
  <si>
    <t>Strategic planning &amp; cash flow forecasting</t>
  </si>
  <si>
    <t>Pricing &amp; margin strategy</t>
  </si>
  <si>
    <t>M&amp;A preparation (valuation, due diligence support)</t>
  </si>
  <si>
    <t>Financial model development (3–5 year projections)</t>
  </si>
  <si>
    <t>Performance strategy consulting (OKRs, KPI alignment)</t>
  </si>
  <si>
    <t>Financial Strategy Intensive (90-minute workshop)</t>
  </si>
  <si>
    <t>Monthly</t>
  </si>
  <si>
    <t>Project</t>
  </si>
  <si>
    <t>One-time</t>
  </si>
  <si>
    <t>Setup</t>
  </si>
  <si>
    <t>Quarterly</t>
  </si>
  <si>
    <t>Package</t>
  </si>
  <si>
    <t>Session</t>
  </si>
  <si>
    <t>Client Size</t>
  </si>
  <si>
    <t>Price Point</t>
  </si>
  <si>
    <t>Client Size (effective)</t>
  </si>
  <si>
    <t>Price Point (effective)</t>
  </si>
  <si>
    <t>Line Total</t>
  </si>
  <si>
    <t>TOTALS</t>
  </si>
  <si>
    <t>Monthly Subtotal</t>
  </si>
  <si>
    <t>One-time/Non-monthly Subtotal</t>
  </si>
  <si>
    <t>Maintenance Add-on (Monthly)</t>
  </si>
  <si>
    <t>Grand Total – Month 1</t>
  </si>
  <si>
    <t>Ongoing Monthly Total</t>
  </si>
  <si>
    <t>YOUR LOGO HERE</t>
  </si>
  <si>
    <t>Proposal For:</t>
  </si>
  <si>
    <t>Client Name</t>
  </si>
  <si>
    <t>Company:</t>
  </si>
  <si>
    <t>Company Name</t>
  </si>
  <si>
    <t>Prepared By:</t>
  </si>
  <si>
    <t>Your Firm Name</t>
  </si>
  <si>
    <t>Client Size:</t>
  </si>
  <si>
    <t>Price Point:</t>
  </si>
  <si>
    <t>Unit Price</t>
  </si>
  <si>
    <t>High</t>
  </si>
  <si>
    <t>PRICING CALCULATOR</t>
  </si>
  <si>
    <t>Solo/Startup</t>
  </si>
  <si>
    <t>Low</t>
  </si>
  <si>
    <t>Value Selected</t>
  </si>
  <si>
    <t>Subtotal</t>
  </si>
  <si>
    <t>Timing</t>
  </si>
  <si>
    <t>Services and their Associated Fees</t>
  </si>
  <si>
    <t>Calculation</t>
  </si>
  <si>
    <t>Settings</t>
  </si>
  <si>
    <t>Total</t>
  </si>
  <si>
    <t>COST BREAKDOWN</t>
  </si>
  <si>
    <t>Services Offered</t>
  </si>
  <si>
    <t>Breakdown of Service</t>
  </si>
  <si>
    <t>Solo/Startup Fee 
(Revenue under $250K/year)</t>
  </si>
  <si>
    <t>Small Bus. Fee 
(Revenue $250k-$1M/year)</t>
  </si>
  <si>
    <t>Mid-Market Fee
 (Revenue $1M–$5M/year)</t>
  </si>
  <si>
    <t>Considerations</t>
  </si>
  <si>
    <t>Revenue Model</t>
  </si>
  <si>
    <t>Tier 1- Financial Clarity (Base Layer)</t>
  </si>
  <si>
    <t>Type</t>
  </si>
  <si>
    <t>Description</t>
  </si>
  <si>
    <t>Price Range</t>
  </si>
  <si>
    <t>$500–$800/mo</t>
  </si>
  <si>
    <t>$900 – $1,500 / mo</t>
  </si>
  <si>
    <t>$1,800 – $2,800 / mo</t>
  </si>
  <si>
    <t>Recurring Retainers</t>
  </si>
  <si>
    <t>Monthly accounting + dashboard package</t>
  </si>
  <si>
    <t>$800–$3,000/month</t>
  </si>
  <si>
    <r>
      <t xml:space="preserve">Month-end close + Reconcillations + Financial Statement Preperation </t>
    </r>
    <r>
      <rPr>
        <i/>
        <sz val="11"/>
        <color theme="1"/>
        <rFont val="Calibri"/>
        <family val="2"/>
        <scheme val="minor"/>
      </rPr>
      <t>(Consulting aspect varies by company size)</t>
    </r>
  </si>
  <si>
    <t xml:space="preserve">Identify anomalies. For larger businesses do GAAP reporting, variance analysis, management packages </t>
  </si>
  <si>
    <t>$500 – $800 / mo</t>
  </si>
  <si>
    <t>Set limit on accruals in contract</t>
  </si>
  <si>
    <t>Projects</t>
  </si>
  <si>
    <t>System setups, forecasts, automation builds</t>
  </si>
  <si>
    <t>$1,500–$7,000/project</t>
  </si>
  <si>
    <t>Payroll +1099 contractor setup</t>
  </si>
  <si>
    <t>$150-$300 /mo</t>
  </si>
  <si>
    <t>$350 – $600 / mo</t>
  </si>
  <si>
    <t>$700 – $1,200 / mo</t>
  </si>
  <si>
    <t>Intensives</t>
  </si>
  <si>
    <t>90-minute paid strategy calls</t>
  </si>
  <si>
    <t>$250–$500/session</t>
  </si>
  <si>
    <t xml:space="preserve">Cleanup Projects or accounting migrations </t>
  </si>
  <si>
    <t>$750-$1,500 project</t>
  </si>
  <si>
    <t>$2,000–$3,000 project</t>
  </si>
  <si>
    <t>$3,500–$5,000 project</t>
  </si>
  <si>
    <t>High-End Consulting</t>
  </si>
  <si>
    <t>Fractional CFO or long-term strategy</t>
  </si>
  <si>
    <t>$3,000–$8,000/month</t>
  </si>
  <si>
    <t xml:space="preserve">Fixing messy books in 30 days </t>
  </si>
  <si>
    <t>$1,000 – $2,000 project</t>
  </si>
  <si>
    <t>$2,500 – $3,500 project</t>
  </si>
  <si>
    <t>$4,000 – $5,000 project</t>
  </si>
  <si>
    <t>$100-$150 /mo</t>
  </si>
  <si>
    <t>$150-$200 /mo</t>
  </si>
  <si>
    <t>Tier 2- Insight and Optimization (Mid Layer)</t>
  </si>
  <si>
    <t>KPI Dashboard Design (Power BI, Excel Power Query)</t>
  </si>
  <si>
    <t>$1,200 – $2,000 one-time (+ $250 / mo maintenance)</t>
  </si>
  <si>
    <t>$2,500 – $3,000 project (+ $300 / mo maintenance)</t>
  </si>
  <si>
    <t>$4,000 – $7,000 project (+ $500 / mo maintenance)</t>
  </si>
  <si>
    <t>$800 – $1,200 / mo</t>
  </si>
  <si>
    <t>$1,500 – $2,500 / mo</t>
  </si>
  <si>
    <t>$3,000 – $4,000 / mo</t>
  </si>
  <si>
    <t>$1,000 – $1,500 project</t>
  </si>
  <si>
    <t>$2,000 – $3,000 project</t>
  </si>
  <si>
    <t>$3,500 – $5,000 proje</t>
  </si>
  <si>
    <t>$800 – $1,200 project</t>
  </si>
  <si>
    <t>$1,500 – $2,500 project</t>
  </si>
  <si>
    <t>$3,000 – $4,500 proje</t>
  </si>
  <si>
    <t>$1,000 – $2,000 setup</t>
  </si>
  <si>
    <t>$2,000 – $3,000 setup</t>
  </si>
  <si>
    <t>$3,500 – $5,000 s</t>
  </si>
  <si>
    <t xml:space="preserve">Quarterly Business Helath Check Packages </t>
  </si>
  <si>
    <t>$400 – $600 / quarter</t>
  </si>
  <si>
    <t>$800 – $1,200 / quarter</t>
  </si>
  <si>
    <t>$1,500 – $2,500 / quarter</t>
  </si>
  <si>
    <t>Custom Report Identifying 5 ways to increase profit margin using existing data</t>
  </si>
  <si>
    <t>$400 – $700 one-time</t>
  </si>
  <si>
    <t>$800 – $1,000 one-time</t>
  </si>
  <si>
    <t>$1,200 – $1,500 one-time</t>
  </si>
  <si>
    <t>Tier 3-Strategic Growth Consulting (High-End Layer)</t>
  </si>
  <si>
    <t>$1,200 – $2,000 / mo</t>
  </si>
  <si>
    <t>$2,500 – $5,000 / mo</t>
  </si>
  <si>
    <t>$6,000 – $9,000 / mo</t>
  </si>
  <si>
    <t>Not sure about offering yet</t>
  </si>
  <si>
    <t>$4,000 – $6,000 project</t>
  </si>
  <si>
    <t>$1,800 – $2,500 project</t>
  </si>
  <si>
    <t>$3,000 – $4,000 project</t>
  </si>
  <si>
    <t>$3,500 – $5,000 project</t>
  </si>
  <si>
    <t>$6,000 – $8,000 project</t>
  </si>
  <si>
    <t>Financial model development (3-5 year projections)</t>
  </si>
  <si>
    <t>$5,000 – $7,000 project</t>
  </si>
  <si>
    <t>$1,500 – $2,500 package</t>
  </si>
  <si>
    <t>$2,500 – $4,000 package</t>
  </si>
  <si>
    <t>$4,000 – $6,000 package</t>
  </si>
  <si>
    <t>Financial Strategy Intensive</t>
  </si>
  <si>
    <t>90-minute workshop analyzing business goals, bottlenecks, and systems (great for onboarding new consulting clients)</t>
  </si>
  <si>
    <t>$250 – $400 session</t>
  </si>
  <si>
    <t>$400 – $600 session</t>
  </si>
  <si>
    <t>$600 – $900 session</t>
  </si>
  <si>
    <t>Tier 4: Business Reinvention (Long-term Vision Layer)</t>
  </si>
  <si>
    <t>AI-driven forecasting implementation (Power BI + ChatGPT or Gemini integration)</t>
  </si>
  <si>
    <t>$3,000 – $5,000 project</t>
  </si>
  <si>
    <t>$6,000 – $10,000 project</t>
  </si>
  <si>
    <t>$10,000 – $15,000 project</t>
  </si>
  <si>
    <t>Digital transformation audits (process efficiency + automation mapping)</t>
  </si>
  <si>
    <t>$2,500 – $4,000 project</t>
  </si>
  <si>
    <t>$5,000 – $8,000 project</t>
  </si>
  <si>
    <t>$8,000 – $12,000 project</t>
  </si>
  <si>
    <t>Sustainability &amp; ESG metrics tracking for mid-market firms</t>
  </si>
  <si>
    <t>$2,000 – $3,000 setup (+ $500 / mo maintenance)</t>
  </si>
  <si>
    <t>$4,000 – $6,000 setup (+ $800 / mo maintenance)</t>
  </si>
  <si>
    <t>$6,000 – $9,000 setup (+ $1,200 / mo maintenance)</t>
  </si>
  <si>
    <t>Business turnaround strategy packages</t>
  </si>
  <si>
    <t>$6,000 – $9,000 project</t>
  </si>
  <si>
    <t>Strategic workshops for founders (vision alignment, growth modeling)</t>
  </si>
  <si>
    <t>$500 – $800 session</t>
  </si>
  <si>
    <t>$1,000 – $1,500 session</t>
  </si>
  <si>
    <t>$2,000 – $3,000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</si>
</sst>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44" fontId="0" fillId="0" borderId="0" xfId="1" applyFont="1"/>
    <xf numFmtId="0" fontId="0" fillId="0" borderId="2" xfId="0" applyBorder="1"/>
    <xf numFmtId="0" fontId="0" fillId="0" borderId="5" xfId="0" applyBorder="1"/>
    <xf numFmtId="44" fontId="0" fillId="0" borderId="6" xfId="1" applyFont="1" applyBorder="1"/>
    <xf numFmtId="0" fontId="0" fillId="0" borderId="7" xfId="0" applyBorder="1"/>
    <xf numFmtId="44" fontId="0" fillId="0" borderId="8" xfId="1" applyFont="1" applyBorder="1"/>
    <xf numFmtId="0" fontId="3" fillId="0" borderId="0" xfId="0" applyFont="1"/>
    <xf numFmtId="0" fontId="1" fillId="2" borderId="12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0" fillId="0" borderId="6" xfId="0" applyBorder="1"/>
    <xf numFmtId="0" fontId="0" fillId="0" borderId="8" xfId="0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44" fontId="0" fillId="0" borderId="0" xfId="0" applyNumberFormat="1"/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0" xfId="0"/>
    <xf numFmtId="0" fontId="1" fillId="3" borderId="13" xfId="0" applyFont="1" applyFill="1" applyBorder="1" applyAlignment="1">
      <alignment horizontal="center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0A02-48EC-4D64-B5A5-3F4CEEBACF61}">
  <dimension ref="A3:J33"/>
  <sheetViews>
    <sheetView tabSelected="1" topLeftCell="A4" zoomScale="70" zoomScaleNormal="70" workbookViewId="0">
      <selection activeCell="G16" sqref="G16"/>
    </sheetView>
  </sheetViews>
  <sheetFormatPr defaultRowHeight="14.25" x14ac:dyDescent="0.45"/>
  <cols>
    <col min="1" max="1" width="35.53125" customWidth="1"/>
    <col min="2" max="2" width="26.53125" customWidth="1"/>
    <col min="3" max="3" width="24.265625" customWidth="1"/>
    <col min="4" max="4" width="39.73046875" bestFit="1" customWidth="1"/>
    <col min="5" max="5" width="21.73046875" bestFit="1" customWidth="1"/>
    <col min="6" max="6" width="27.53125" customWidth="1"/>
    <col min="8" max="8" width="17.59765625" bestFit="1" customWidth="1"/>
    <col min="9" max="9" width="35.6640625" bestFit="1" customWidth="1"/>
    <col min="10" max="10" width="18.86328125" bestFit="1" customWidth="1"/>
  </cols>
  <sheetData>
    <row r="3" spans="1:10" x14ac:dyDescent="0.45">
      <c r="A3" s="20" t="s">
        <v>77</v>
      </c>
      <c r="B3" s="23"/>
      <c r="C3" s="23"/>
      <c r="D3" s="23"/>
      <c r="E3" s="23"/>
      <c r="F3" s="21"/>
    </row>
    <row r="4" spans="1:10" ht="42.75" x14ac:dyDescent="0.45">
      <c r="A4" s="38" t="s">
        <v>78</v>
      </c>
      <c r="B4" s="39" t="s">
        <v>79</v>
      </c>
      <c r="C4" s="40" t="s">
        <v>80</v>
      </c>
      <c r="D4" s="40" t="s">
        <v>81</v>
      </c>
      <c r="E4" s="40" t="s">
        <v>82</v>
      </c>
      <c r="F4" s="41" t="s">
        <v>83</v>
      </c>
      <c r="H4" s="42" t="s">
        <v>84</v>
      </c>
      <c r="I4" s="43"/>
      <c r="J4" s="44"/>
    </row>
    <row r="5" spans="1:10" x14ac:dyDescent="0.45">
      <c r="A5" s="35" t="s">
        <v>85</v>
      </c>
      <c r="B5" s="36"/>
      <c r="C5" s="36"/>
      <c r="D5" s="36"/>
      <c r="E5" s="36"/>
      <c r="F5" s="37"/>
      <c r="H5" s="45" t="s">
        <v>86</v>
      </c>
      <c r="I5" s="46" t="s">
        <v>87</v>
      </c>
      <c r="J5" s="47" t="s">
        <v>88</v>
      </c>
    </row>
    <row r="6" spans="1:10" x14ac:dyDescent="0.45">
      <c r="A6" s="24" t="s">
        <v>18</v>
      </c>
      <c r="B6" s="25"/>
      <c r="C6" s="26" t="s">
        <v>89</v>
      </c>
      <c r="D6" s="26" t="s">
        <v>90</v>
      </c>
      <c r="E6" s="26" t="s">
        <v>91</v>
      </c>
      <c r="F6" s="27"/>
      <c r="H6" s="48" t="s">
        <v>92</v>
      </c>
      <c r="I6" s="49" t="s">
        <v>93</v>
      </c>
      <c r="J6" s="50" t="s">
        <v>94</v>
      </c>
    </row>
    <row r="7" spans="1:10" ht="57" x14ac:dyDescent="0.45">
      <c r="A7" s="24" t="s">
        <v>95</v>
      </c>
      <c r="B7" s="25" t="s">
        <v>96</v>
      </c>
      <c r="C7" s="26" t="s">
        <v>97</v>
      </c>
      <c r="D7" s="26" t="s">
        <v>90</v>
      </c>
      <c r="E7" s="26" t="s">
        <v>91</v>
      </c>
      <c r="F7" s="27" t="s">
        <v>98</v>
      </c>
      <c r="H7" s="48" t="s">
        <v>99</v>
      </c>
      <c r="I7" s="49" t="s">
        <v>100</v>
      </c>
      <c r="J7" s="50" t="s">
        <v>101</v>
      </c>
    </row>
    <row r="8" spans="1:10" x14ac:dyDescent="0.45">
      <c r="A8" s="24" t="s">
        <v>102</v>
      </c>
      <c r="B8" s="25"/>
      <c r="C8" s="26" t="s">
        <v>103</v>
      </c>
      <c r="D8" s="26" t="s">
        <v>104</v>
      </c>
      <c r="E8" s="26" t="s">
        <v>105</v>
      </c>
      <c r="F8" s="27"/>
      <c r="H8" s="48" t="s">
        <v>106</v>
      </c>
      <c r="I8" s="49" t="s">
        <v>107</v>
      </c>
      <c r="J8" s="50" t="s">
        <v>108</v>
      </c>
    </row>
    <row r="9" spans="1:10" x14ac:dyDescent="0.45">
      <c r="A9" s="24" t="s">
        <v>109</v>
      </c>
      <c r="B9" s="25"/>
      <c r="C9" s="26" t="s">
        <v>110</v>
      </c>
      <c r="D9" s="26" t="s">
        <v>111</v>
      </c>
      <c r="E9" s="26" t="s">
        <v>112</v>
      </c>
      <c r="F9" s="27"/>
      <c r="H9" s="51" t="s">
        <v>113</v>
      </c>
      <c r="I9" s="52" t="s">
        <v>114</v>
      </c>
      <c r="J9" s="53" t="s">
        <v>115</v>
      </c>
    </row>
    <row r="10" spans="1:10" x14ac:dyDescent="0.45">
      <c r="A10" s="24" t="s">
        <v>22</v>
      </c>
      <c r="B10" s="25" t="s">
        <v>116</v>
      </c>
      <c r="C10" s="26" t="s">
        <v>117</v>
      </c>
      <c r="D10" s="26" t="s">
        <v>118</v>
      </c>
      <c r="E10" s="26" t="s">
        <v>119</v>
      </c>
      <c r="F10" s="27"/>
    </row>
    <row r="11" spans="1:10" x14ac:dyDescent="0.45">
      <c r="A11" s="24" t="s">
        <v>23</v>
      </c>
      <c r="B11" s="25"/>
      <c r="C11" s="26" t="s">
        <v>120</v>
      </c>
      <c r="D11" s="26" t="s">
        <v>121</v>
      </c>
      <c r="E11" s="26" t="s">
        <v>121</v>
      </c>
      <c r="F11" s="27"/>
    </row>
    <row r="12" spans="1:10" x14ac:dyDescent="0.45">
      <c r="A12" s="32" t="s">
        <v>122</v>
      </c>
      <c r="B12" s="33"/>
      <c r="C12" s="33"/>
      <c r="D12" s="33"/>
      <c r="E12" s="33"/>
      <c r="F12" s="34"/>
    </row>
    <row r="13" spans="1:10" ht="28.5" x14ac:dyDescent="0.45">
      <c r="A13" s="24" t="s">
        <v>123</v>
      </c>
      <c r="B13" s="25"/>
      <c r="C13" s="25" t="s">
        <v>124</v>
      </c>
      <c r="D13" s="25" t="s">
        <v>125</v>
      </c>
      <c r="E13" s="25" t="s">
        <v>126</v>
      </c>
      <c r="F13" s="27"/>
    </row>
    <row r="14" spans="1:10" ht="28.5" x14ac:dyDescent="0.45">
      <c r="A14" s="24" t="s">
        <v>25</v>
      </c>
      <c r="B14" s="25"/>
      <c r="C14" s="25" t="s">
        <v>127</v>
      </c>
      <c r="D14" s="25" t="s">
        <v>128</v>
      </c>
      <c r="E14" s="25" t="s">
        <v>129</v>
      </c>
      <c r="F14" s="27"/>
    </row>
    <row r="15" spans="1:10" x14ac:dyDescent="0.45">
      <c r="A15" s="24" t="s">
        <v>26</v>
      </c>
      <c r="B15" s="25"/>
      <c r="C15" s="25" t="s">
        <v>130</v>
      </c>
      <c r="D15" s="25" t="s">
        <v>131</v>
      </c>
      <c r="E15" s="25" t="s">
        <v>132</v>
      </c>
      <c r="F15" s="27"/>
    </row>
    <row r="16" spans="1:10" x14ac:dyDescent="0.45">
      <c r="A16" s="24" t="s">
        <v>27</v>
      </c>
      <c r="B16" s="25"/>
      <c r="C16" s="25" t="s">
        <v>133</v>
      </c>
      <c r="D16" s="25" t="s">
        <v>134</v>
      </c>
      <c r="E16" s="25" t="s">
        <v>135</v>
      </c>
      <c r="F16" s="27"/>
    </row>
    <row r="17" spans="1:6" ht="28.5" x14ac:dyDescent="0.45">
      <c r="A17" s="24" t="s">
        <v>28</v>
      </c>
      <c r="B17" s="25"/>
      <c r="C17" s="25" t="s">
        <v>136</v>
      </c>
      <c r="D17" s="25" t="s">
        <v>137</v>
      </c>
      <c r="E17" s="25" t="s">
        <v>138</v>
      </c>
      <c r="F17" s="27"/>
    </row>
    <row r="18" spans="1:6" x14ac:dyDescent="0.45">
      <c r="A18" s="24" t="s">
        <v>139</v>
      </c>
      <c r="B18" s="25"/>
      <c r="C18" s="25" t="s">
        <v>140</v>
      </c>
      <c r="D18" s="25" t="s">
        <v>141</v>
      </c>
      <c r="E18" s="25" t="s">
        <v>142</v>
      </c>
      <c r="F18" s="27"/>
    </row>
    <row r="19" spans="1:6" ht="42.75" x14ac:dyDescent="0.45">
      <c r="A19" s="24" t="s">
        <v>30</v>
      </c>
      <c r="B19" s="25" t="s">
        <v>143</v>
      </c>
      <c r="C19" s="26" t="s">
        <v>144</v>
      </c>
      <c r="D19" s="26" t="s">
        <v>145</v>
      </c>
      <c r="E19" s="26" t="s">
        <v>146</v>
      </c>
      <c r="F19" s="27"/>
    </row>
    <row r="20" spans="1:6" x14ac:dyDescent="0.45">
      <c r="A20" s="32" t="s">
        <v>147</v>
      </c>
      <c r="B20" s="33"/>
      <c r="C20" s="33"/>
      <c r="D20" s="33"/>
      <c r="E20" s="33"/>
      <c r="F20" s="34"/>
    </row>
    <row r="21" spans="1:6" x14ac:dyDescent="0.45">
      <c r="A21" s="24" t="s">
        <v>31</v>
      </c>
      <c r="B21" s="25"/>
      <c r="C21" s="26" t="s">
        <v>148</v>
      </c>
      <c r="D21" s="26" t="s">
        <v>149</v>
      </c>
      <c r="E21" s="26" t="s">
        <v>150</v>
      </c>
      <c r="F21" s="28" t="s">
        <v>151</v>
      </c>
    </row>
    <row r="22" spans="1:6" x14ac:dyDescent="0.45">
      <c r="A22" s="24" t="s">
        <v>32</v>
      </c>
      <c r="B22" s="25"/>
      <c r="C22" s="25" t="s">
        <v>117</v>
      </c>
      <c r="D22" s="25" t="s">
        <v>118</v>
      </c>
      <c r="E22" s="25" t="s">
        <v>152</v>
      </c>
      <c r="F22" s="27"/>
    </row>
    <row r="23" spans="1:6" x14ac:dyDescent="0.45">
      <c r="A23" s="24" t="s">
        <v>33</v>
      </c>
      <c r="B23" s="25"/>
      <c r="C23" s="25" t="s">
        <v>133</v>
      </c>
      <c r="D23" s="25" t="s">
        <v>153</v>
      </c>
      <c r="E23" s="25" t="s">
        <v>154</v>
      </c>
      <c r="F23" s="27"/>
    </row>
    <row r="24" spans="1:6" ht="28.5" x14ac:dyDescent="0.45">
      <c r="A24" s="24" t="s">
        <v>34</v>
      </c>
      <c r="B24" s="25"/>
      <c r="C24" s="26" t="s">
        <v>131</v>
      </c>
      <c r="D24" s="26" t="s">
        <v>155</v>
      </c>
      <c r="E24" s="26" t="s">
        <v>156</v>
      </c>
      <c r="F24" s="28" t="s">
        <v>151</v>
      </c>
    </row>
    <row r="25" spans="1:6" ht="28.5" x14ac:dyDescent="0.45">
      <c r="A25" s="24" t="s">
        <v>157</v>
      </c>
      <c r="B25" s="25"/>
      <c r="C25" s="26" t="s">
        <v>131</v>
      </c>
      <c r="D25" s="26" t="s">
        <v>155</v>
      </c>
      <c r="E25" s="26" t="s">
        <v>158</v>
      </c>
      <c r="F25" s="28" t="s">
        <v>151</v>
      </c>
    </row>
    <row r="26" spans="1:6" ht="28.5" x14ac:dyDescent="0.45">
      <c r="A26" s="24" t="s">
        <v>36</v>
      </c>
      <c r="B26" s="25"/>
      <c r="C26" s="26" t="s">
        <v>159</v>
      </c>
      <c r="D26" s="26" t="s">
        <v>160</v>
      </c>
      <c r="E26" s="26" t="s">
        <v>161</v>
      </c>
      <c r="F26" s="27"/>
    </row>
    <row r="27" spans="1:6" ht="57" x14ac:dyDescent="0.45">
      <c r="A27" s="24" t="s">
        <v>162</v>
      </c>
      <c r="B27" s="25" t="s">
        <v>163</v>
      </c>
      <c r="C27" s="25" t="s">
        <v>164</v>
      </c>
      <c r="D27" s="26" t="s">
        <v>165</v>
      </c>
      <c r="E27" s="26" t="s">
        <v>166</v>
      </c>
      <c r="F27" s="28" t="s">
        <v>151</v>
      </c>
    </row>
    <row r="28" spans="1:6" x14ac:dyDescent="0.45">
      <c r="A28" s="32" t="s">
        <v>167</v>
      </c>
      <c r="B28" s="33"/>
      <c r="C28" s="33"/>
      <c r="D28" s="33"/>
      <c r="E28" s="33"/>
      <c r="F28" s="34"/>
    </row>
    <row r="29" spans="1:6" ht="28.5" x14ac:dyDescent="0.45">
      <c r="A29" s="24" t="s">
        <v>168</v>
      </c>
      <c r="B29" s="25"/>
      <c r="C29" s="25" t="s">
        <v>169</v>
      </c>
      <c r="D29" s="25" t="s">
        <v>170</v>
      </c>
      <c r="E29" s="25" t="s">
        <v>171</v>
      </c>
      <c r="F29" s="27"/>
    </row>
    <row r="30" spans="1:6" ht="28.5" x14ac:dyDescent="0.45">
      <c r="A30" s="24" t="s">
        <v>172</v>
      </c>
      <c r="B30" s="25"/>
      <c r="C30" s="25" t="s">
        <v>173</v>
      </c>
      <c r="D30" s="25" t="s">
        <v>174</v>
      </c>
      <c r="E30" s="26" t="s">
        <v>175</v>
      </c>
      <c r="F30" s="27"/>
    </row>
    <row r="31" spans="1:6" ht="42.75" x14ac:dyDescent="0.45">
      <c r="A31" s="24" t="s">
        <v>176</v>
      </c>
      <c r="B31" s="25"/>
      <c r="C31" s="25" t="s">
        <v>177</v>
      </c>
      <c r="D31" s="26" t="s">
        <v>178</v>
      </c>
      <c r="E31" s="25" t="s">
        <v>179</v>
      </c>
      <c r="F31" s="27"/>
    </row>
    <row r="32" spans="1:6" x14ac:dyDescent="0.45">
      <c r="A32" s="24" t="s">
        <v>180</v>
      </c>
      <c r="B32" s="25"/>
      <c r="C32" s="25" t="s">
        <v>169</v>
      </c>
      <c r="D32" s="26" t="s">
        <v>181</v>
      </c>
      <c r="E32" s="25" t="s">
        <v>171</v>
      </c>
      <c r="F32" s="27"/>
    </row>
    <row r="33" spans="1:6" ht="28.5" x14ac:dyDescent="0.45">
      <c r="A33" s="29" t="s">
        <v>182</v>
      </c>
      <c r="B33" s="30"/>
      <c r="C33" s="30" t="s">
        <v>183</v>
      </c>
      <c r="D33" s="30" t="s">
        <v>184</v>
      </c>
      <c r="E33" s="30" t="s">
        <v>185</v>
      </c>
      <c r="F33" s="31" t="s">
        <v>151</v>
      </c>
    </row>
  </sheetData>
  <mergeCells count="6">
    <mergeCell ref="A3:F3"/>
    <mergeCell ref="A5:F5"/>
    <mergeCell ref="A12:F12"/>
    <mergeCell ref="A20:F20"/>
    <mergeCell ref="A28:F28"/>
    <mergeCell ref="H4:J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zoomScale="64" workbookViewId="0">
      <selection activeCell="V34" sqref="V34"/>
    </sheetView>
  </sheetViews>
  <sheetFormatPr defaultRowHeight="14.25" x14ac:dyDescent="0.45"/>
  <cols>
    <col min="1" max="1" width="27.265625" bestFit="1" customWidth="1"/>
    <col min="2" max="2" width="11" bestFit="1" customWidth="1"/>
    <col min="3" max="3" width="19" bestFit="1" customWidth="1"/>
    <col min="4" max="4" width="44.1328125" bestFit="1" customWidth="1"/>
    <col min="5" max="5" width="50.59765625" bestFit="1" customWidth="1"/>
    <col min="6" max="6" width="8.59765625" bestFit="1" customWidth="1"/>
    <col min="7" max="7" width="8.73046875" bestFit="1" customWidth="1"/>
    <col min="8" max="8" width="9.1328125" bestFit="1" customWidth="1"/>
    <col min="9" max="9" width="10.3984375" bestFit="1" customWidth="1"/>
    <col min="10" max="10" width="9.6640625" bestFit="1" customWidth="1"/>
    <col min="11" max="11" width="10.06640625" bestFit="1" customWidth="1"/>
    <col min="12" max="12" width="11.33203125" bestFit="1" customWidth="1"/>
    <col min="13" max="13" width="8.53125" bestFit="1" customWidth="1"/>
    <col min="14" max="14" width="8.9296875" bestFit="1" customWidth="1"/>
    <col min="15" max="15" width="10.19921875" bestFit="1" customWidth="1"/>
    <col min="16" max="17" width="5.06640625" bestFit="1" customWidth="1"/>
    <col min="18" max="18" width="13.19921875" bestFit="1" customWidth="1"/>
    <col min="19" max="19" width="7.86328125" bestFit="1" customWidth="1"/>
    <col min="20" max="20" width="19.9296875" bestFit="1" customWidth="1"/>
    <col min="21" max="21" width="16.73046875" customWidth="1"/>
  </cols>
  <sheetData>
    <row r="1" spans="1:20" x14ac:dyDescent="0.45">
      <c r="A1" s="1" t="s">
        <v>67</v>
      </c>
    </row>
    <row r="2" spans="1:20" x14ac:dyDescent="0.45">
      <c r="D2" s="20" t="s">
        <v>75</v>
      </c>
      <c r="E2" s="21"/>
    </row>
    <row r="3" spans="1:20" x14ac:dyDescent="0.45">
      <c r="D3" s="14" t="s">
        <v>45</v>
      </c>
      <c r="E3" s="14" t="s">
        <v>46</v>
      </c>
    </row>
    <row r="4" spans="1:20" x14ac:dyDescent="0.45">
      <c r="D4" s="15" t="s">
        <v>68</v>
      </c>
      <c r="E4" s="15" t="s">
        <v>66</v>
      </c>
    </row>
    <row r="5" spans="1:20" x14ac:dyDescent="0.45">
      <c r="A5" t="s">
        <v>47</v>
      </c>
      <c r="B5" t="str">
        <f>D4</f>
        <v>Solo/Startup</v>
      </c>
      <c r="D5" s="8"/>
    </row>
    <row r="6" spans="1:20" x14ac:dyDescent="0.45">
      <c r="A6" t="s">
        <v>48</v>
      </c>
      <c r="B6" t="str">
        <f>E4</f>
        <v>High</v>
      </c>
    </row>
    <row r="8" spans="1:20" x14ac:dyDescent="0.45">
      <c r="A8" s="19" t="s">
        <v>73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74</v>
      </c>
      <c r="Q8" s="19"/>
      <c r="R8" s="19"/>
      <c r="S8" s="19"/>
      <c r="T8" s="19"/>
    </row>
    <row r="9" spans="1:20" x14ac:dyDescent="0.45">
      <c r="A9" s="10" t="s">
        <v>0</v>
      </c>
      <c r="B9" s="9" t="s">
        <v>1</v>
      </c>
      <c r="C9" s="9" t="s">
        <v>2</v>
      </c>
      <c r="D9" s="9" t="s">
        <v>3</v>
      </c>
      <c r="E9" s="9" t="s">
        <v>4</v>
      </c>
      <c r="F9" s="9" t="s">
        <v>5</v>
      </c>
      <c r="G9" s="9" t="s">
        <v>6</v>
      </c>
      <c r="H9" s="9" t="s">
        <v>7</v>
      </c>
      <c r="I9" s="9" t="s">
        <v>8</v>
      </c>
      <c r="J9" s="9" t="s">
        <v>9</v>
      </c>
      <c r="K9" s="9" t="s">
        <v>10</v>
      </c>
      <c r="L9" s="9" t="s">
        <v>11</v>
      </c>
      <c r="M9" s="9" t="s">
        <v>12</v>
      </c>
      <c r="N9" s="9" t="s">
        <v>13</v>
      </c>
      <c r="O9" s="11" t="s">
        <v>14</v>
      </c>
      <c r="P9" s="10" t="s">
        <v>69</v>
      </c>
      <c r="Q9" s="9" t="s">
        <v>66</v>
      </c>
      <c r="R9" s="9" t="s">
        <v>70</v>
      </c>
      <c r="S9" s="9" t="s">
        <v>71</v>
      </c>
      <c r="T9" s="11" t="s">
        <v>72</v>
      </c>
    </row>
    <row r="10" spans="1:20" x14ac:dyDescent="0.45">
      <c r="A10" s="4" t="b">
        <v>1</v>
      </c>
      <c r="B10">
        <v>1</v>
      </c>
      <c r="C10" t="b">
        <v>0</v>
      </c>
      <c r="D10" t="s">
        <v>15</v>
      </c>
      <c r="E10" t="s">
        <v>18</v>
      </c>
      <c r="F10" t="s">
        <v>38</v>
      </c>
      <c r="G10">
        <v>500</v>
      </c>
      <c r="H10">
        <v>800</v>
      </c>
      <c r="J10">
        <v>900</v>
      </c>
      <c r="K10">
        <v>1500</v>
      </c>
      <c r="M10">
        <v>1800</v>
      </c>
      <c r="N10">
        <v>2800</v>
      </c>
      <c r="O10" s="12"/>
      <c r="P10" s="4">
        <f t="shared" ref="P10:P29" si="0">IF($B$5="Solo/Startup", G10, IF($B$5="Small Business", J10, M10))</f>
        <v>500</v>
      </c>
      <c r="Q10">
        <f t="shared" ref="Q10:Q29" si="1">IF($B$5="Solo/Startup", H10, IF($B$5="Small Business", K10, N10))</f>
        <v>800</v>
      </c>
      <c r="R10">
        <f t="shared" ref="R10:R29" si="2">IF($B$6="Low", P10, IF($B$6="High", Q10, AVERAGE(P10,Q10)))</f>
        <v>800</v>
      </c>
      <c r="S10">
        <f t="shared" ref="S10:S29" si="3">IF(A10, B10*R10, 0)</f>
        <v>800</v>
      </c>
      <c r="T10" s="12" t="str">
        <f t="shared" ref="T10:T29" si="4">IF(F10="Monthly","Monthly","One-time/Non-monthly")</f>
        <v>Monthly</v>
      </c>
    </row>
    <row r="11" spans="1:20" x14ac:dyDescent="0.45">
      <c r="A11" s="4" t="b">
        <v>1</v>
      </c>
      <c r="B11">
        <v>1</v>
      </c>
      <c r="C11" t="b">
        <v>0</v>
      </c>
      <c r="D11" t="s">
        <v>15</v>
      </c>
      <c r="E11" t="s">
        <v>19</v>
      </c>
      <c r="F11" t="s">
        <v>38</v>
      </c>
      <c r="G11">
        <v>500</v>
      </c>
      <c r="H11">
        <v>800</v>
      </c>
      <c r="J11">
        <v>900</v>
      </c>
      <c r="K11">
        <v>1500</v>
      </c>
      <c r="M11">
        <v>1800</v>
      </c>
      <c r="N11">
        <v>2800</v>
      </c>
      <c r="O11" s="12"/>
      <c r="P11" s="4">
        <f t="shared" si="0"/>
        <v>500</v>
      </c>
      <c r="Q11">
        <f t="shared" si="1"/>
        <v>800</v>
      </c>
      <c r="R11">
        <f t="shared" si="2"/>
        <v>800</v>
      </c>
      <c r="S11">
        <f t="shared" si="3"/>
        <v>800</v>
      </c>
      <c r="T11" s="12" t="str">
        <f t="shared" si="4"/>
        <v>Monthly</v>
      </c>
    </row>
    <row r="12" spans="1:20" x14ac:dyDescent="0.45">
      <c r="A12" s="4" t="b">
        <v>1</v>
      </c>
      <c r="B12">
        <v>1</v>
      </c>
      <c r="C12" t="b">
        <v>0</v>
      </c>
      <c r="D12" t="s">
        <v>15</v>
      </c>
      <c r="E12" t="s">
        <v>20</v>
      </c>
      <c r="F12" t="s">
        <v>38</v>
      </c>
      <c r="G12">
        <v>150</v>
      </c>
      <c r="H12">
        <v>300</v>
      </c>
      <c r="J12">
        <v>350</v>
      </c>
      <c r="K12">
        <v>600</v>
      </c>
      <c r="M12">
        <v>700</v>
      </c>
      <c r="N12">
        <v>1200</v>
      </c>
      <c r="O12" s="12"/>
      <c r="P12" s="4">
        <f t="shared" si="0"/>
        <v>150</v>
      </c>
      <c r="Q12">
        <f t="shared" si="1"/>
        <v>300</v>
      </c>
      <c r="R12">
        <f t="shared" si="2"/>
        <v>300</v>
      </c>
      <c r="S12">
        <f t="shared" si="3"/>
        <v>300</v>
      </c>
      <c r="T12" s="12" t="str">
        <f t="shared" si="4"/>
        <v>Monthly</v>
      </c>
    </row>
    <row r="13" spans="1:20" x14ac:dyDescent="0.45">
      <c r="A13" s="4" t="b">
        <v>1</v>
      </c>
      <c r="B13">
        <v>1</v>
      </c>
      <c r="C13" t="b">
        <v>0</v>
      </c>
      <c r="D13" t="s">
        <v>15</v>
      </c>
      <c r="E13" t="s">
        <v>21</v>
      </c>
      <c r="F13" t="s">
        <v>39</v>
      </c>
      <c r="G13">
        <v>750</v>
      </c>
      <c r="H13">
        <v>1500</v>
      </c>
      <c r="J13">
        <v>2500</v>
      </c>
      <c r="K13">
        <v>3000</v>
      </c>
      <c r="M13">
        <v>3500</v>
      </c>
      <c r="N13">
        <v>5000</v>
      </c>
      <c r="O13" s="12"/>
      <c r="P13" s="4">
        <f t="shared" si="0"/>
        <v>750</v>
      </c>
      <c r="Q13">
        <f t="shared" si="1"/>
        <v>1500</v>
      </c>
      <c r="R13">
        <f t="shared" si="2"/>
        <v>1500</v>
      </c>
      <c r="S13">
        <f t="shared" si="3"/>
        <v>1500</v>
      </c>
      <c r="T13" s="12" t="str">
        <f t="shared" si="4"/>
        <v>One-time/Non-monthly</v>
      </c>
    </row>
    <row r="14" spans="1:20" x14ac:dyDescent="0.45">
      <c r="A14" s="4" t="b">
        <v>1</v>
      </c>
      <c r="B14">
        <v>1</v>
      </c>
      <c r="C14" t="b">
        <v>0</v>
      </c>
      <c r="D14" t="s">
        <v>15</v>
      </c>
      <c r="E14" t="s">
        <v>22</v>
      </c>
      <c r="F14" t="s">
        <v>39</v>
      </c>
      <c r="G14">
        <v>1000</v>
      </c>
      <c r="H14">
        <v>2000</v>
      </c>
      <c r="J14">
        <v>2500</v>
      </c>
      <c r="K14">
        <v>3500</v>
      </c>
      <c r="M14">
        <v>4000</v>
      </c>
      <c r="N14">
        <v>5000</v>
      </c>
      <c r="O14" s="12"/>
      <c r="P14" s="4">
        <f t="shared" si="0"/>
        <v>1000</v>
      </c>
      <c r="Q14">
        <f t="shared" si="1"/>
        <v>2000</v>
      </c>
      <c r="R14">
        <f t="shared" si="2"/>
        <v>2000</v>
      </c>
      <c r="S14">
        <f t="shared" si="3"/>
        <v>2000</v>
      </c>
      <c r="T14" s="12" t="str">
        <f t="shared" si="4"/>
        <v>One-time/Non-monthly</v>
      </c>
    </row>
    <row r="15" spans="1:20" x14ac:dyDescent="0.45">
      <c r="A15" s="4" t="b">
        <v>0</v>
      </c>
      <c r="B15">
        <v>1</v>
      </c>
      <c r="C15" t="b">
        <v>0</v>
      </c>
      <c r="D15" t="s">
        <v>15</v>
      </c>
      <c r="E15" t="s">
        <v>23</v>
      </c>
      <c r="F15" t="s">
        <v>38</v>
      </c>
      <c r="G15">
        <v>100</v>
      </c>
      <c r="H15">
        <v>150</v>
      </c>
      <c r="J15">
        <v>150</v>
      </c>
      <c r="K15">
        <v>200</v>
      </c>
      <c r="M15">
        <v>150</v>
      </c>
      <c r="N15">
        <v>200</v>
      </c>
      <c r="O15" s="12"/>
      <c r="P15" s="4">
        <f t="shared" si="0"/>
        <v>100</v>
      </c>
      <c r="Q15">
        <f t="shared" si="1"/>
        <v>150</v>
      </c>
      <c r="R15">
        <f t="shared" si="2"/>
        <v>150</v>
      </c>
      <c r="S15">
        <f t="shared" si="3"/>
        <v>0</v>
      </c>
      <c r="T15" s="12" t="str">
        <f t="shared" si="4"/>
        <v>Monthly</v>
      </c>
    </row>
    <row r="16" spans="1:20" x14ac:dyDescent="0.45">
      <c r="A16" s="4" t="b">
        <v>1</v>
      </c>
      <c r="B16">
        <v>1</v>
      </c>
      <c r="C16" t="b">
        <v>1</v>
      </c>
      <c r="D16" t="s">
        <v>16</v>
      </c>
      <c r="E16" t="s">
        <v>24</v>
      </c>
      <c r="F16" t="s">
        <v>40</v>
      </c>
      <c r="G16">
        <v>1200</v>
      </c>
      <c r="H16">
        <v>2000</v>
      </c>
      <c r="I16">
        <v>250</v>
      </c>
      <c r="J16">
        <v>2500</v>
      </c>
      <c r="K16">
        <v>3000</v>
      </c>
      <c r="L16">
        <v>300</v>
      </c>
      <c r="M16">
        <v>4000</v>
      </c>
      <c r="N16">
        <v>7000</v>
      </c>
      <c r="O16" s="12">
        <v>500</v>
      </c>
      <c r="P16" s="4">
        <f t="shared" si="0"/>
        <v>1200</v>
      </c>
      <c r="Q16">
        <f t="shared" si="1"/>
        <v>2000</v>
      </c>
      <c r="R16">
        <f t="shared" si="2"/>
        <v>2000</v>
      </c>
      <c r="S16">
        <f t="shared" si="3"/>
        <v>2000</v>
      </c>
      <c r="T16" s="12" t="str">
        <f t="shared" si="4"/>
        <v>One-time/Non-monthly</v>
      </c>
    </row>
    <row r="17" spans="1:20" x14ac:dyDescent="0.45">
      <c r="A17" s="4" t="b">
        <v>0</v>
      </c>
      <c r="B17">
        <v>1</v>
      </c>
      <c r="C17" t="b">
        <v>0</v>
      </c>
      <c r="D17" t="s">
        <v>16</v>
      </c>
      <c r="E17" t="s">
        <v>25</v>
      </c>
      <c r="F17" t="s">
        <v>38</v>
      </c>
      <c r="G17">
        <v>800</v>
      </c>
      <c r="H17">
        <v>1200</v>
      </c>
      <c r="J17">
        <v>1500</v>
      </c>
      <c r="K17">
        <v>2500</v>
      </c>
      <c r="M17">
        <v>3000</v>
      </c>
      <c r="N17">
        <v>4000</v>
      </c>
      <c r="O17" s="12"/>
      <c r="P17" s="4">
        <f t="shared" si="0"/>
        <v>800</v>
      </c>
      <c r="Q17">
        <f t="shared" si="1"/>
        <v>1200</v>
      </c>
      <c r="R17">
        <f t="shared" si="2"/>
        <v>1200</v>
      </c>
      <c r="S17">
        <f t="shared" si="3"/>
        <v>0</v>
      </c>
      <c r="T17" s="12" t="str">
        <f t="shared" si="4"/>
        <v>Monthly</v>
      </c>
    </row>
    <row r="18" spans="1:20" x14ac:dyDescent="0.45">
      <c r="A18" s="4" t="b">
        <v>0</v>
      </c>
      <c r="B18">
        <v>1</v>
      </c>
      <c r="C18" t="b">
        <v>0</v>
      </c>
      <c r="D18" t="s">
        <v>16</v>
      </c>
      <c r="E18" t="s">
        <v>26</v>
      </c>
      <c r="F18" t="s">
        <v>39</v>
      </c>
      <c r="G18">
        <v>1000</v>
      </c>
      <c r="H18">
        <v>1500</v>
      </c>
      <c r="J18">
        <v>2000</v>
      </c>
      <c r="K18">
        <v>3000</v>
      </c>
      <c r="M18">
        <v>3500</v>
      </c>
      <c r="N18">
        <v>5000</v>
      </c>
      <c r="O18" s="12"/>
      <c r="P18" s="4">
        <f t="shared" si="0"/>
        <v>1000</v>
      </c>
      <c r="Q18">
        <f t="shared" si="1"/>
        <v>1500</v>
      </c>
      <c r="R18">
        <f t="shared" si="2"/>
        <v>1500</v>
      </c>
      <c r="S18">
        <f t="shared" si="3"/>
        <v>0</v>
      </c>
      <c r="T18" s="12" t="str">
        <f t="shared" si="4"/>
        <v>One-time/Non-monthly</v>
      </c>
    </row>
    <row r="19" spans="1:20" x14ac:dyDescent="0.45">
      <c r="A19" s="4" t="b">
        <v>0</v>
      </c>
      <c r="B19">
        <v>1</v>
      </c>
      <c r="C19" t="b">
        <v>0</v>
      </c>
      <c r="D19" t="s">
        <v>16</v>
      </c>
      <c r="E19" t="s">
        <v>27</v>
      </c>
      <c r="F19" t="s">
        <v>39</v>
      </c>
      <c r="G19">
        <v>800</v>
      </c>
      <c r="H19">
        <v>1200</v>
      </c>
      <c r="J19">
        <v>1500</v>
      </c>
      <c r="K19">
        <v>2500</v>
      </c>
      <c r="M19">
        <v>3000</v>
      </c>
      <c r="N19">
        <v>4500</v>
      </c>
      <c r="O19" s="12"/>
      <c r="P19" s="4">
        <f t="shared" si="0"/>
        <v>800</v>
      </c>
      <c r="Q19">
        <f t="shared" si="1"/>
        <v>1200</v>
      </c>
      <c r="R19">
        <f t="shared" si="2"/>
        <v>1200</v>
      </c>
      <c r="S19">
        <f t="shared" si="3"/>
        <v>0</v>
      </c>
      <c r="T19" s="12" t="str">
        <f t="shared" si="4"/>
        <v>One-time/Non-monthly</v>
      </c>
    </row>
    <row r="20" spans="1:20" x14ac:dyDescent="0.45">
      <c r="A20" s="4" t="b">
        <v>0</v>
      </c>
      <c r="B20">
        <v>1</v>
      </c>
      <c r="C20" t="b">
        <v>0</v>
      </c>
      <c r="D20" t="s">
        <v>16</v>
      </c>
      <c r="E20" t="s">
        <v>28</v>
      </c>
      <c r="F20" t="s">
        <v>41</v>
      </c>
      <c r="G20">
        <v>1000</v>
      </c>
      <c r="H20">
        <v>2000</v>
      </c>
      <c r="J20">
        <v>2000</v>
      </c>
      <c r="K20">
        <v>3000</v>
      </c>
      <c r="M20">
        <v>3500</v>
      </c>
      <c r="N20">
        <v>5000</v>
      </c>
      <c r="O20" s="12"/>
      <c r="P20" s="4">
        <f t="shared" si="0"/>
        <v>1000</v>
      </c>
      <c r="Q20">
        <f t="shared" si="1"/>
        <v>2000</v>
      </c>
      <c r="R20">
        <f t="shared" si="2"/>
        <v>2000</v>
      </c>
      <c r="S20">
        <f t="shared" si="3"/>
        <v>0</v>
      </c>
      <c r="T20" s="12" t="str">
        <f t="shared" si="4"/>
        <v>One-time/Non-monthly</v>
      </c>
    </row>
    <row r="21" spans="1:20" x14ac:dyDescent="0.45">
      <c r="A21" s="4" t="b">
        <v>0</v>
      </c>
      <c r="B21">
        <v>1</v>
      </c>
      <c r="C21" t="b">
        <v>0</v>
      </c>
      <c r="D21" t="s">
        <v>16</v>
      </c>
      <c r="E21" t="s">
        <v>29</v>
      </c>
      <c r="F21" t="s">
        <v>42</v>
      </c>
      <c r="G21">
        <v>400</v>
      </c>
      <c r="H21">
        <v>600</v>
      </c>
      <c r="J21">
        <v>800</v>
      </c>
      <c r="K21">
        <v>1200</v>
      </c>
      <c r="M21">
        <v>1500</v>
      </c>
      <c r="N21">
        <v>2500</v>
      </c>
      <c r="O21" s="12"/>
      <c r="P21" s="4">
        <f t="shared" si="0"/>
        <v>400</v>
      </c>
      <c r="Q21">
        <f t="shared" si="1"/>
        <v>600</v>
      </c>
      <c r="R21">
        <f t="shared" si="2"/>
        <v>600</v>
      </c>
      <c r="S21">
        <f t="shared" si="3"/>
        <v>0</v>
      </c>
      <c r="T21" s="12" t="str">
        <f t="shared" si="4"/>
        <v>One-time/Non-monthly</v>
      </c>
    </row>
    <row r="22" spans="1:20" x14ac:dyDescent="0.45">
      <c r="A22" s="4" t="b">
        <v>0</v>
      </c>
      <c r="B22">
        <v>1</v>
      </c>
      <c r="C22" t="b">
        <v>0</v>
      </c>
      <c r="D22" t="s">
        <v>16</v>
      </c>
      <c r="E22" t="s">
        <v>30</v>
      </c>
      <c r="F22" t="s">
        <v>40</v>
      </c>
      <c r="G22">
        <v>400</v>
      </c>
      <c r="H22">
        <v>700</v>
      </c>
      <c r="J22">
        <v>800</v>
      </c>
      <c r="K22">
        <v>1000</v>
      </c>
      <c r="M22">
        <v>1200</v>
      </c>
      <c r="N22">
        <v>1500</v>
      </c>
      <c r="O22" s="12"/>
      <c r="P22" s="4">
        <f t="shared" si="0"/>
        <v>400</v>
      </c>
      <c r="Q22">
        <f t="shared" si="1"/>
        <v>700</v>
      </c>
      <c r="R22">
        <f t="shared" si="2"/>
        <v>700</v>
      </c>
      <c r="S22">
        <f t="shared" si="3"/>
        <v>0</v>
      </c>
      <c r="T22" s="12" t="str">
        <f t="shared" si="4"/>
        <v>One-time/Non-monthly</v>
      </c>
    </row>
    <row r="23" spans="1:20" x14ac:dyDescent="0.45">
      <c r="A23" s="4" t="b">
        <v>0</v>
      </c>
      <c r="B23">
        <v>1</v>
      </c>
      <c r="C23" t="b">
        <v>0</v>
      </c>
      <c r="D23" t="s">
        <v>17</v>
      </c>
      <c r="E23" t="s">
        <v>31</v>
      </c>
      <c r="F23" t="s">
        <v>38</v>
      </c>
      <c r="G23">
        <v>1200</v>
      </c>
      <c r="H23">
        <v>2000</v>
      </c>
      <c r="J23">
        <v>2500</v>
      </c>
      <c r="K23">
        <v>5000</v>
      </c>
      <c r="M23">
        <v>6000</v>
      </c>
      <c r="N23">
        <v>9000</v>
      </c>
      <c r="O23" s="12"/>
      <c r="P23" s="4">
        <f t="shared" si="0"/>
        <v>1200</v>
      </c>
      <c r="Q23">
        <f t="shared" si="1"/>
        <v>2000</v>
      </c>
      <c r="R23">
        <f t="shared" si="2"/>
        <v>2000</v>
      </c>
      <c r="S23">
        <f t="shared" si="3"/>
        <v>0</v>
      </c>
      <c r="T23" s="12" t="str">
        <f t="shared" si="4"/>
        <v>Monthly</v>
      </c>
    </row>
    <row r="24" spans="1:20" x14ac:dyDescent="0.45">
      <c r="A24" s="4" t="b">
        <v>0</v>
      </c>
      <c r="B24">
        <v>1</v>
      </c>
      <c r="C24" t="b">
        <v>0</v>
      </c>
      <c r="D24" t="s">
        <v>17</v>
      </c>
      <c r="E24" t="s">
        <v>32</v>
      </c>
      <c r="F24" t="s">
        <v>39</v>
      </c>
      <c r="G24">
        <v>1000</v>
      </c>
      <c r="H24">
        <v>2000</v>
      </c>
      <c r="J24">
        <v>2500</v>
      </c>
      <c r="K24">
        <v>3500</v>
      </c>
      <c r="M24">
        <v>4000</v>
      </c>
      <c r="N24">
        <v>6000</v>
      </c>
      <c r="O24" s="12"/>
      <c r="P24" s="4">
        <f t="shared" si="0"/>
        <v>1000</v>
      </c>
      <c r="Q24">
        <f t="shared" si="1"/>
        <v>2000</v>
      </c>
      <c r="R24">
        <f t="shared" si="2"/>
        <v>2000</v>
      </c>
      <c r="S24">
        <f t="shared" si="3"/>
        <v>0</v>
      </c>
      <c r="T24" s="12" t="str">
        <f t="shared" si="4"/>
        <v>One-time/Non-monthly</v>
      </c>
    </row>
    <row r="25" spans="1:20" x14ac:dyDescent="0.45">
      <c r="A25" s="4" t="b">
        <v>0</v>
      </c>
      <c r="B25">
        <v>1</v>
      </c>
      <c r="C25" t="b">
        <v>0</v>
      </c>
      <c r="D25" t="s">
        <v>17</v>
      </c>
      <c r="E25" t="s">
        <v>33</v>
      </c>
      <c r="F25" t="s">
        <v>39</v>
      </c>
      <c r="G25">
        <v>800</v>
      </c>
      <c r="H25">
        <v>1200</v>
      </c>
      <c r="J25">
        <v>1800</v>
      </c>
      <c r="K25">
        <v>2500</v>
      </c>
      <c r="M25">
        <v>3000</v>
      </c>
      <c r="N25">
        <v>4000</v>
      </c>
      <c r="O25" s="12"/>
      <c r="P25" s="4">
        <f t="shared" si="0"/>
        <v>800</v>
      </c>
      <c r="Q25">
        <f t="shared" si="1"/>
        <v>1200</v>
      </c>
      <c r="R25">
        <f t="shared" si="2"/>
        <v>1200</v>
      </c>
      <c r="S25">
        <f t="shared" si="3"/>
        <v>0</v>
      </c>
      <c r="T25" s="12" t="str">
        <f t="shared" si="4"/>
        <v>One-time/Non-monthly</v>
      </c>
    </row>
    <row r="26" spans="1:20" x14ac:dyDescent="0.45">
      <c r="A26" s="4" t="b">
        <v>0</v>
      </c>
      <c r="B26">
        <v>1</v>
      </c>
      <c r="C26" t="b">
        <v>0</v>
      </c>
      <c r="D26" t="s">
        <v>17</v>
      </c>
      <c r="E26" t="s">
        <v>34</v>
      </c>
      <c r="F26" t="s">
        <v>39</v>
      </c>
      <c r="G26">
        <v>2000</v>
      </c>
      <c r="H26">
        <v>3000</v>
      </c>
      <c r="J26">
        <v>3500</v>
      </c>
      <c r="K26">
        <v>5000</v>
      </c>
      <c r="M26">
        <v>6000</v>
      </c>
      <c r="N26">
        <v>8000</v>
      </c>
      <c r="O26" s="12"/>
      <c r="P26" s="4">
        <f t="shared" si="0"/>
        <v>2000</v>
      </c>
      <c r="Q26">
        <f t="shared" si="1"/>
        <v>3000</v>
      </c>
      <c r="R26">
        <f t="shared" si="2"/>
        <v>3000</v>
      </c>
      <c r="S26">
        <f t="shared" si="3"/>
        <v>0</v>
      </c>
      <c r="T26" s="12" t="str">
        <f t="shared" si="4"/>
        <v>One-time/Non-monthly</v>
      </c>
    </row>
    <row r="27" spans="1:20" x14ac:dyDescent="0.45">
      <c r="A27" s="4" t="b">
        <v>0</v>
      </c>
      <c r="B27">
        <v>1</v>
      </c>
      <c r="C27" t="b">
        <v>0</v>
      </c>
      <c r="D27" t="s">
        <v>17</v>
      </c>
      <c r="E27" t="s">
        <v>35</v>
      </c>
      <c r="F27" t="s">
        <v>39</v>
      </c>
      <c r="G27">
        <v>2000</v>
      </c>
      <c r="H27">
        <v>3000</v>
      </c>
      <c r="J27">
        <v>3500</v>
      </c>
      <c r="K27">
        <v>5000</v>
      </c>
      <c r="M27">
        <v>5000</v>
      </c>
      <c r="N27">
        <v>7000</v>
      </c>
      <c r="O27" s="12"/>
      <c r="P27" s="4">
        <f t="shared" si="0"/>
        <v>2000</v>
      </c>
      <c r="Q27">
        <f t="shared" si="1"/>
        <v>3000</v>
      </c>
      <c r="R27">
        <f t="shared" si="2"/>
        <v>3000</v>
      </c>
      <c r="S27">
        <f t="shared" si="3"/>
        <v>0</v>
      </c>
      <c r="T27" s="12" t="str">
        <f t="shared" si="4"/>
        <v>One-time/Non-monthly</v>
      </c>
    </row>
    <row r="28" spans="1:20" x14ac:dyDescent="0.45">
      <c r="A28" s="4" t="b">
        <v>0</v>
      </c>
      <c r="B28">
        <v>1</v>
      </c>
      <c r="C28" t="b">
        <v>0</v>
      </c>
      <c r="D28" t="s">
        <v>17</v>
      </c>
      <c r="E28" t="s">
        <v>36</v>
      </c>
      <c r="F28" t="s">
        <v>43</v>
      </c>
      <c r="G28">
        <v>1500</v>
      </c>
      <c r="H28">
        <v>2500</v>
      </c>
      <c r="J28">
        <v>2500</v>
      </c>
      <c r="K28">
        <v>4000</v>
      </c>
      <c r="M28">
        <v>4000</v>
      </c>
      <c r="N28">
        <v>6000</v>
      </c>
      <c r="O28" s="12"/>
      <c r="P28" s="4">
        <f t="shared" si="0"/>
        <v>1500</v>
      </c>
      <c r="Q28">
        <f t="shared" si="1"/>
        <v>2500</v>
      </c>
      <c r="R28">
        <f t="shared" si="2"/>
        <v>2500</v>
      </c>
      <c r="S28">
        <f t="shared" si="3"/>
        <v>0</v>
      </c>
      <c r="T28" s="12" t="str">
        <f t="shared" si="4"/>
        <v>One-time/Non-monthly</v>
      </c>
    </row>
    <row r="29" spans="1:20" x14ac:dyDescent="0.45">
      <c r="A29" s="6" t="b">
        <v>0</v>
      </c>
      <c r="B29" s="3">
        <v>1</v>
      </c>
      <c r="C29" s="3" t="b">
        <v>0</v>
      </c>
      <c r="D29" s="3" t="s">
        <v>17</v>
      </c>
      <c r="E29" s="3" t="s">
        <v>37</v>
      </c>
      <c r="F29" s="3" t="s">
        <v>44</v>
      </c>
      <c r="G29" s="3">
        <v>250</v>
      </c>
      <c r="H29" s="3">
        <v>400</v>
      </c>
      <c r="I29" s="3"/>
      <c r="J29" s="3">
        <v>400</v>
      </c>
      <c r="K29" s="3">
        <v>600</v>
      </c>
      <c r="L29" s="3"/>
      <c r="M29" s="3">
        <v>600</v>
      </c>
      <c r="N29" s="3">
        <v>900</v>
      </c>
      <c r="O29" s="13"/>
      <c r="P29" s="6">
        <f t="shared" si="0"/>
        <v>250</v>
      </c>
      <c r="Q29" s="3">
        <f t="shared" si="1"/>
        <v>400</v>
      </c>
      <c r="R29" s="3">
        <f t="shared" si="2"/>
        <v>400</v>
      </c>
      <c r="S29" s="3">
        <f t="shared" si="3"/>
        <v>0</v>
      </c>
      <c r="T29" s="13" t="str">
        <f t="shared" si="4"/>
        <v>One-time/Non-monthly</v>
      </c>
    </row>
    <row r="31" spans="1:20" x14ac:dyDescent="0.45">
      <c r="A31" s="17" t="s">
        <v>50</v>
      </c>
      <c r="B31" s="18"/>
    </row>
    <row r="32" spans="1:20" x14ac:dyDescent="0.45">
      <c r="A32" s="4" t="s">
        <v>51</v>
      </c>
      <c r="B32" s="5">
        <f>SUMIF(T10:T29,"Monthly",S10:S29)</f>
        <v>1900</v>
      </c>
    </row>
    <row r="33" spans="1:2" x14ac:dyDescent="0.45">
      <c r="A33" s="4" t="s">
        <v>52</v>
      </c>
      <c r="B33" s="5">
        <f>SUMIF(T10:T29,"One-time/Non-monthly",S10:S29)</f>
        <v>5500</v>
      </c>
    </row>
    <row r="34" spans="1:2" x14ac:dyDescent="0.45">
      <c r="A34" s="4" t="s">
        <v>53</v>
      </c>
      <c r="B34" s="5">
        <f>SUM(U10:U29)</f>
        <v>0</v>
      </c>
    </row>
    <row r="35" spans="1:2" x14ac:dyDescent="0.45">
      <c r="A35" s="4" t="s">
        <v>54</v>
      </c>
      <c r="B35" s="5">
        <f>B32+B33+B31</f>
        <v>7400</v>
      </c>
    </row>
    <row r="36" spans="1:2" x14ac:dyDescent="0.45">
      <c r="A36" s="6" t="s">
        <v>55</v>
      </c>
      <c r="B36" s="7"/>
    </row>
  </sheetData>
  <mergeCells count="4">
    <mergeCell ref="A31:B31"/>
    <mergeCell ref="A8:O8"/>
    <mergeCell ref="P8:T8"/>
    <mergeCell ref="D2:E2"/>
  </mergeCells>
  <dataValidations count="2">
    <dataValidation type="list" allowBlank="1" showInputMessage="1" showErrorMessage="1" sqref="D4" xr:uid="{00000000-0002-0000-0000-000000000000}">
      <formula1>"Solo/Startup,Small Business,Mid-Market"</formula1>
    </dataValidation>
    <dataValidation type="list" allowBlank="1" showInputMessage="1" showErrorMessage="1" sqref="E4" xr:uid="{00000000-0002-0000-0000-000001000000}">
      <formula1>"Low,Midpoint,High"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E6" sqref="E6"/>
    </sheetView>
  </sheetViews>
  <sheetFormatPr defaultRowHeight="14.25" x14ac:dyDescent="0.45"/>
  <cols>
    <col min="1" max="1" width="52.73046875" customWidth="1"/>
    <col min="2" max="2" width="18.73046875" customWidth="1"/>
    <col min="3" max="3" width="8.73046875" customWidth="1"/>
    <col min="4" max="5" width="16.73046875" customWidth="1"/>
  </cols>
  <sheetData>
    <row r="1" spans="1:5" x14ac:dyDescent="0.45">
      <c r="A1" s="22" t="s">
        <v>56</v>
      </c>
      <c r="B1" s="22"/>
      <c r="C1" s="22"/>
      <c r="D1" s="22"/>
    </row>
    <row r="2" spans="1:5" x14ac:dyDescent="0.45">
      <c r="A2" s="22"/>
      <c r="B2" s="22"/>
      <c r="C2" s="22"/>
      <c r="D2" s="22"/>
    </row>
    <row r="3" spans="1:5" x14ac:dyDescent="0.45">
      <c r="A3" s="22"/>
      <c r="B3" s="22"/>
      <c r="C3" s="22"/>
      <c r="D3" s="22"/>
    </row>
    <row r="5" spans="1:5" x14ac:dyDescent="0.45">
      <c r="A5" t="s">
        <v>57</v>
      </c>
      <c r="B5" t="s">
        <v>58</v>
      </c>
      <c r="D5" t="s">
        <v>63</v>
      </c>
      <c r="E5" t="str">
        <f>Calculator!B5</f>
        <v>Solo/Startup</v>
      </c>
    </row>
    <row r="6" spans="1:5" x14ac:dyDescent="0.45">
      <c r="A6" t="s">
        <v>59</v>
      </c>
      <c r="B6" t="s">
        <v>60</v>
      </c>
      <c r="D6" t="s">
        <v>64</v>
      </c>
      <c r="E6" t="str">
        <f>Calculator!B6</f>
        <v>High</v>
      </c>
    </row>
    <row r="7" spans="1:5" x14ac:dyDescent="0.45">
      <c r="A7" t="s">
        <v>61</v>
      </c>
      <c r="B7" t="s">
        <v>62</v>
      </c>
    </row>
    <row r="8" spans="1:5" x14ac:dyDescent="0.45">
      <c r="E8" s="16"/>
    </row>
    <row r="9" spans="1:5" x14ac:dyDescent="0.45">
      <c r="A9" t="s">
        <v>4</v>
      </c>
      <c r="B9" t="s">
        <v>5</v>
      </c>
      <c r="C9" t="s">
        <v>1</v>
      </c>
      <c r="D9" t="s">
        <v>65</v>
      </c>
      <c r="E9" t="s">
        <v>49</v>
      </c>
    </row>
    <row r="10" spans="1:5" x14ac:dyDescent="0.45">
      <c r="A10" t="str" cm="1">
        <f t="array" ref="A10:A15">_xlfn._xlws.FILTER(Calculator!E10:E29, Calculator!A10:A29=TRUE)</f>
        <v>Bookkeeping</v>
      </c>
      <c r="B10" t="str" cm="1">
        <f t="array" ref="B10:B15">_xlfn._xlws.FILTER(Calculator!F10:F29, Calculator!A10:A29=TRUE)</f>
        <v>Monthly</v>
      </c>
      <c r="C10" cm="1">
        <f t="array" ref="C10:C15">_xlfn._xlws.FILTER(Calculator!B10:B29, Calculator!A10:A29=TRUE)</f>
        <v>1</v>
      </c>
      <c r="D10" s="2" cm="1">
        <f t="array" ref="D10:D15">_xlfn._xlws.FILTER(Calculator!R10:R29, Calculator!A10:A29=TRUE)</f>
        <v>800</v>
      </c>
      <c r="E10" s="2" cm="1">
        <f t="array" ref="E10:E15">_xlfn._xlws.FILTER(Calculator!S10:S29, Calculator!A10:A29=TRUE)</f>
        <v>800</v>
      </c>
    </row>
    <row r="11" spans="1:5" x14ac:dyDescent="0.45">
      <c r="A11" t="str">
        <v>Month-end close + Reconciliations + Financial Statement Prep</v>
      </c>
      <c r="B11" t="str">
        <v>Monthly</v>
      </c>
      <c r="C11">
        <v>1</v>
      </c>
      <c r="D11" s="2">
        <v>800</v>
      </c>
      <c r="E11" s="2">
        <v>800</v>
      </c>
    </row>
    <row r="12" spans="1:5" x14ac:dyDescent="0.45">
      <c r="A12" t="str">
        <v>Payroll + 1099 contractor setup</v>
      </c>
      <c r="B12" t="str">
        <v>Monthly</v>
      </c>
      <c r="C12">
        <v>1</v>
      </c>
      <c r="D12" s="2">
        <v>300</v>
      </c>
      <c r="E12" s="2">
        <v>300</v>
      </c>
    </row>
    <row r="13" spans="1:5" x14ac:dyDescent="0.45">
      <c r="A13" t="str">
        <v>Cleanup Projects or accounting migrations</v>
      </c>
      <c r="B13" t="str">
        <v>Project</v>
      </c>
      <c r="C13">
        <v>1</v>
      </c>
      <c r="D13" s="2">
        <v>1500</v>
      </c>
      <c r="E13" s="2">
        <v>1500</v>
      </c>
    </row>
    <row r="14" spans="1:5" x14ac:dyDescent="0.45">
      <c r="A14" t="str">
        <v>Accounting System Overhaul</v>
      </c>
      <c r="B14" t="str">
        <v>Project</v>
      </c>
      <c r="C14">
        <v>1</v>
      </c>
      <c r="D14" s="2">
        <v>2000</v>
      </c>
      <c r="E14" s="2">
        <v>2000</v>
      </c>
    </row>
    <row r="15" spans="1:5" x14ac:dyDescent="0.45">
      <c r="A15" t="str">
        <v>KPI Dashboard Design (Power BI, Excel, Power Query)</v>
      </c>
      <c r="B15" t="str">
        <v>One-time</v>
      </c>
      <c r="C15">
        <v>1</v>
      </c>
      <c r="D15" s="2">
        <v>2000</v>
      </c>
      <c r="E15" s="2">
        <v>2000</v>
      </c>
    </row>
    <row r="16" spans="1:5" x14ac:dyDescent="0.45">
      <c r="A16" t="s">
        <v>76</v>
      </c>
      <c r="D16" s="2"/>
      <c r="E16" s="2">
        <f>SUM(_xlfn.ANCHORARRAY(E10))</f>
        <v>7400</v>
      </c>
    </row>
  </sheetData>
  <mergeCells count="1">
    <mergeCell ref="A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Breakdown</vt:lpstr>
      <vt:lpstr>Calculator</vt:lpstr>
      <vt:lpstr>Quote Builder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Mayr</dc:creator>
  <cp:lastModifiedBy>Natasha Mayr</cp:lastModifiedBy>
  <dcterms:created xsi:type="dcterms:W3CDTF">2025-10-31T19:14:03Z</dcterms:created>
  <dcterms:modified xsi:type="dcterms:W3CDTF">2025-11-08T05:10:21Z</dcterms:modified>
</cp:coreProperties>
</file>