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s\Documents\ICG LLC\"/>
    </mc:Choice>
  </mc:AlternateContent>
  <xr:revisionPtr revIDLastSave="0" documentId="13_ncr:1_{CC659C6A-34CA-41BC-BA43-6CD4CFC8526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ost Breakdown" sheetId="3" r:id="rId1"/>
    <sheet name="Calculato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N40" i="1"/>
  <c r="M40" i="1"/>
  <c r="L40" i="1"/>
  <c r="M39" i="1"/>
  <c r="N39" i="1" s="1"/>
  <c r="O39" i="1"/>
  <c r="L39" i="1"/>
  <c r="M38" i="1"/>
  <c r="N38" i="1"/>
  <c r="O38" i="1"/>
  <c r="L38" i="1"/>
  <c r="M37" i="1"/>
  <c r="N37" i="1"/>
  <c r="O37" i="1"/>
  <c r="L37" i="1"/>
  <c r="M36" i="1"/>
  <c r="N36" i="1"/>
  <c r="O36" i="1"/>
  <c r="L36" i="1"/>
  <c r="M35" i="1"/>
  <c r="N35" i="1"/>
  <c r="O35" i="1"/>
  <c r="L35" i="1"/>
  <c r="O34" i="1"/>
  <c r="O33" i="1"/>
  <c r="L33" i="1"/>
  <c r="M32" i="1"/>
  <c r="N32" i="1" s="1"/>
  <c r="O32" i="1"/>
  <c r="O31" i="1"/>
  <c r="M30" i="1"/>
  <c r="N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P15" i="1"/>
  <c r="O15" i="1"/>
  <c r="P14" i="1"/>
  <c r="P13" i="1"/>
  <c r="P12" i="1"/>
  <c r="P11" i="1"/>
  <c r="P10" i="1"/>
  <c r="B6" i="1"/>
  <c r="B5" i="1"/>
  <c r="L27" i="1" s="1"/>
  <c r="L31" i="1" l="1"/>
  <c r="M33" i="1"/>
  <c r="N33" i="1" s="1"/>
  <c r="M31" i="1"/>
  <c r="N31" i="1" s="1"/>
  <c r="L34" i="1"/>
  <c r="L30" i="1"/>
  <c r="L32" i="1"/>
  <c r="M34" i="1"/>
  <c r="N34" i="1" s="1"/>
  <c r="L13" i="1"/>
  <c r="M21" i="1"/>
  <c r="M14" i="1"/>
  <c r="N14" i="1" s="1"/>
  <c r="O14" i="1" s="1"/>
  <c r="L16" i="1"/>
  <c r="L14" i="1"/>
  <c r="L12" i="1"/>
  <c r="M12" i="1"/>
  <c r="N12" i="1" s="1"/>
  <c r="O12" i="1" s="1"/>
  <c r="L10" i="1"/>
  <c r="M10" i="1"/>
  <c r="M23" i="1"/>
  <c r="M15" i="1"/>
  <c r="M17" i="1"/>
  <c r="M22" i="1"/>
  <c r="N22" i="1" s="1"/>
  <c r="L24" i="1"/>
  <c r="L26" i="1"/>
  <c r="M24" i="1"/>
  <c r="N24" i="1" s="1"/>
  <c r="M19" i="1"/>
  <c r="N19" i="1" s="1"/>
  <c r="M26" i="1"/>
  <c r="M28" i="1"/>
  <c r="M16" i="1"/>
  <c r="N16" i="1" s="1"/>
  <c r="O16" i="1" s="1"/>
  <c r="L18" i="1"/>
  <c r="M25" i="1"/>
  <c r="M11" i="1"/>
  <c r="M18" i="1"/>
  <c r="N18" i="1" s="1"/>
  <c r="L20" i="1"/>
  <c r="M27" i="1"/>
  <c r="N27" i="1" s="1"/>
  <c r="M29" i="1"/>
  <c r="M13" i="1"/>
  <c r="N13" i="1" s="1"/>
  <c r="O13" i="1" s="1"/>
  <c r="M20" i="1"/>
  <c r="N20" i="1" s="1"/>
  <c r="L22" i="1"/>
  <c r="N10" i="1"/>
  <c r="L17" i="1"/>
  <c r="L21" i="1"/>
  <c r="L25" i="1"/>
  <c r="N26" i="1"/>
  <c r="L29" i="1"/>
  <c r="N23" i="1"/>
  <c r="L28" i="1"/>
  <c r="L11" i="1"/>
  <c r="L15" i="1"/>
  <c r="L19" i="1"/>
  <c r="L23" i="1"/>
  <c r="N21" i="1" l="1"/>
  <c r="N17" i="1"/>
  <c r="N15" i="1"/>
  <c r="O10" i="1"/>
  <c r="N25" i="1"/>
  <c r="N11" i="1"/>
  <c r="O11" i="1" s="1"/>
  <c r="N29" i="1"/>
  <c r="N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Natasha Mayr</author>
  </authors>
  <commentList>
    <comment ref="A20" authorId="0" shapeId="0" xr:uid="{5323D05B-8E95-4C9F-A1B9-9AB8E4A0D98F}">
      <text>
        <r>
          <rPr>
            <b/>
            <sz val="9"/>
            <color indexed="81"/>
            <rFont val="Tahoma"/>
            <charset val="1"/>
          </rPr>
          <t>Natasha Mayr:</t>
        </r>
        <r>
          <rPr>
            <sz val="9"/>
            <color indexed="81"/>
            <rFont val="Tahoma"/>
            <charset val="1"/>
          </rPr>
          <t xml:space="preserve">
***This is eventually what I want to get however need to get to this level. I can do 1/2 of these currently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Natasha Mayr</author>
  </authors>
  <commentList>
    <comment ref="A1" authorId="0" shapeId="0" xr:uid="{8E2D0F73-1DB1-422F-9654-DE786A96F689}">
      <text>
        <r>
          <rPr>
            <b/>
            <sz val="9"/>
            <color indexed="81"/>
            <rFont val="Tahoma"/>
            <family val="2"/>
          </rPr>
          <t>Natasha Mayr:</t>
        </r>
        <r>
          <rPr>
            <sz val="9"/>
            <color indexed="81"/>
            <rFont val="Tahoma"/>
            <family val="2"/>
          </rPr>
          <t xml:space="preserve">
Instructions: Select services, set Qty for project/setup items, and toggle maintenance where applicable.</t>
        </r>
      </text>
    </comment>
    <comment ref="C3" authorId="0" shapeId="0" xr:uid="{69F35B2D-66F3-41FA-9ECF-041000EDDB5B}">
      <text>
        <r>
          <rPr>
            <b/>
            <sz val="9"/>
            <color indexed="81"/>
            <rFont val="Tahoma"/>
            <family val="2"/>
          </rPr>
          <t>Natasha Mayr:</t>
        </r>
        <r>
          <rPr>
            <sz val="9"/>
            <color indexed="81"/>
            <rFont val="Tahoma"/>
            <family val="2"/>
          </rPr>
          <t xml:space="preserve">
Select Client Size and Price Point from Drop Down Below
</t>
        </r>
      </text>
    </comment>
  </commentList>
</comments>
</file>

<file path=xl/sharedStrings.xml><?xml version="1.0" encoding="utf-8"?>
<sst xmlns="http://schemas.openxmlformats.org/spreadsheetml/2006/main" count="289" uniqueCount="198">
  <si>
    <t>Select</t>
  </si>
  <si>
    <t>Qty</t>
  </si>
  <si>
    <t>Tier</t>
  </si>
  <si>
    <t>Service</t>
  </si>
  <si>
    <t>Billing</t>
  </si>
  <si>
    <t>Solo_Low</t>
  </si>
  <si>
    <t>Solo_High</t>
  </si>
  <si>
    <t>Small_Low</t>
  </si>
  <si>
    <t>Small_High</t>
  </si>
  <si>
    <t>Mid_Low</t>
  </si>
  <si>
    <t>Mid_High</t>
  </si>
  <si>
    <t>Tier 1 – Financial Clarity (Base Layer)</t>
  </si>
  <si>
    <t>Tier 2 – Insight &amp; Optimization (Mid Layer)</t>
  </si>
  <si>
    <t>Tier 3 – Strategic Growth Consulting (High-End Layer)</t>
  </si>
  <si>
    <t>Bookkeeping</t>
  </si>
  <si>
    <t>Month-end close + Reconciliations + Financial Statement Prep</t>
  </si>
  <si>
    <t>Payroll + 1099 contractor setup</t>
  </si>
  <si>
    <t>Cleanup Projects or accounting migrations</t>
  </si>
  <si>
    <t>Accounting System Overhaul</t>
  </si>
  <si>
    <t>Monthly Review Call</t>
  </si>
  <si>
    <t>KPI Dashboard Design (Power BI, Excel, Power Query)</t>
  </si>
  <si>
    <t>Monthly Performance Reviews (Revenue, COGS, Cashflow)</t>
  </si>
  <si>
    <t>Cost and Profitability analysis</t>
  </si>
  <si>
    <t>Budgeting and Forecast Templates</t>
  </si>
  <si>
    <t>Workflow Automation (Bank Feeds, Reporting Pipelines)</t>
  </si>
  <si>
    <t>Quarterly Business Health Check Packages</t>
  </si>
  <si>
    <t>Profit Optimization Report</t>
  </si>
  <si>
    <t>Fractional CFO or Outsourced Controller</t>
  </si>
  <si>
    <t>Strategic planning &amp; cash flow forecasting</t>
  </si>
  <si>
    <t>Pricing &amp; margin strategy</t>
  </si>
  <si>
    <t>M&amp;A preparation (valuation, due diligence support)</t>
  </si>
  <si>
    <t>Financial model development (3–5 year projections)</t>
  </si>
  <si>
    <t>Performance strategy consulting (OKRs, KPI alignment)</t>
  </si>
  <si>
    <t>Financial Strategy Intensive (90-minute workshop)</t>
  </si>
  <si>
    <t>Monthly</t>
  </si>
  <si>
    <t>Project</t>
  </si>
  <si>
    <t>One-time</t>
  </si>
  <si>
    <t>Setup</t>
  </si>
  <si>
    <t>Quarterly</t>
  </si>
  <si>
    <t>Package</t>
  </si>
  <si>
    <t>Session</t>
  </si>
  <si>
    <t>Client Size</t>
  </si>
  <si>
    <t>Price Point</t>
  </si>
  <si>
    <t>Client Size (effective)</t>
  </si>
  <si>
    <t>Price Point (effective)</t>
  </si>
  <si>
    <t>High</t>
  </si>
  <si>
    <t>PRICING CALCULATOR</t>
  </si>
  <si>
    <t>Solo/Startup</t>
  </si>
  <si>
    <t>Low</t>
  </si>
  <si>
    <t>Value Selected</t>
  </si>
  <si>
    <t>Subtotal</t>
  </si>
  <si>
    <t>Timing</t>
  </si>
  <si>
    <t>Services and their Associated Fees</t>
  </si>
  <si>
    <t>Calculation</t>
  </si>
  <si>
    <t>Settings</t>
  </si>
  <si>
    <t>COST BREAKDOWN</t>
  </si>
  <si>
    <t>Services Offered</t>
  </si>
  <si>
    <t>Breakdown of Service</t>
  </si>
  <si>
    <t>Solo/Startup Fee 
(Revenue under $250K/year)</t>
  </si>
  <si>
    <t>Small Bus. Fee 
(Revenue $250k-$1M/year)</t>
  </si>
  <si>
    <t>Mid-Market Fee
 (Revenue $1M–$5M/year)</t>
  </si>
  <si>
    <t>Considerations</t>
  </si>
  <si>
    <t>Revenue Model</t>
  </si>
  <si>
    <t>Tier 1- Financial Clarity (Base Layer)</t>
  </si>
  <si>
    <t>Type</t>
  </si>
  <si>
    <t>Description</t>
  </si>
  <si>
    <t>Price Range</t>
  </si>
  <si>
    <t>$500–$800/mo</t>
  </si>
  <si>
    <t>$900 – $1,500 / mo</t>
  </si>
  <si>
    <t>$1,800 – $2,800 / mo</t>
  </si>
  <si>
    <t>Recurring Retainers</t>
  </si>
  <si>
    <t>Monthly accounting + dashboard package</t>
  </si>
  <si>
    <t>$800–$3,000/month</t>
  </si>
  <si>
    <r>
      <t xml:space="preserve">Month-end close + Reconcillations + Financial Statement Preperation </t>
    </r>
    <r>
      <rPr>
        <i/>
        <sz val="11"/>
        <color theme="1"/>
        <rFont val="Calibri"/>
        <family val="2"/>
        <scheme val="minor"/>
      </rPr>
      <t>(Consulting aspect varies by company size)</t>
    </r>
  </si>
  <si>
    <t xml:space="preserve">Identify anomalies. For larger businesses do GAAP reporting, variance analysis, management packages </t>
  </si>
  <si>
    <t>$500 – $800 / mo</t>
  </si>
  <si>
    <t>Set limit on accruals in contract</t>
  </si>
  <si>
    <t>Projects</t>
  </si>
  <si>
    <t>System setups, forecasts, automation builds</t>
  </si>
  <si>
    <t>$1,500–$7,000/project</t>
  </si>
  <si>
    <t>Payroll +1099 contractor setup</t>
  </si>
  <si>
    <t>$150-$300 /mo</t>
  </si>
  <si>
    <t>$350 – $600 / mo</t>
  </si>
  <si>
    <t>$700 – $1,200 / mo</t>
  </si>
  <si>
    <t>Intensives</t>
  </si>
  <si>
    <t>90-minute paid strategy calls</t>
  </si>
  <si>
    <t>$250–$500/session</t>
  </si>
  <si>
    <t xml:space="preserve">Cleanup Projects or accounting migrations </t>
  </si>
  <si>
    <t>$750-$1,500 project</t>
  </si>
  <si>
    <t>$2,000–$3,000 project</t>
  </si>
  <si>
    <t>$3,500–$5,000 project</t>
  </si>
  <si>
    <t>High-End Consulting</t>
  </si>
  <si>
    <t>Fractional CFO or long-term strategy</t>
  </si>
  <si>
    <t>$3,000–$8,000/month</t>
  </si>
  <si>
    <t xml:space="preserve">Fixing messy books in 30 days </t>
  </si>
  <si>
    <t>$1,000 – $2,000 project</t>
  </si>
  <si>
    <t>$2,500 – $3,500 project</t>
  </si>
  <si>
    <t>$4,000 – $5,000 project</t>
  </si>
  <si>
    <t>$100-$150 /mo</t>
  </si>
  <si>
    <t>$150-$200 /mo</t>
  </si>
  <si>
    <t>Tier 2- Insight and Optimization (Mid Layer)</t>
  </si>
  <si>
    <t>KPI Dashboard Design (Power BI, Excel Power Query)</t>
  </si>
  <si>
    <t>$1,200 – $2,000 one-time (+ $250 / mo maintenance)</t>
  </si>
  <si>
    <t>$2,500 – $3,000 project (+ $300 / mo maintenance)</t>
  </si>
  <si>
    <t>$4,000 – $7,000 project (+ $500 / mo maintenance)</t>
  </si>
  <si>
    <t>$800 – $1,200 / mo</t>
  </si>
  <si>
    <t>$1,500 – $2,500 / mo</t>
  </si>
  <si>
    <t>$3,000 – $4,000 / mo</t>
  </si>
  <si>
    <t>$1,000 – $1,500 project</t>
  </si>
  <si>
    <t>$2,000 – $3,000 project</t>
  </si>
  <si>
    <t>$3,500 – $5,000 proje</t>
  </si>
  <si>
    <t>$800 – $1,200 project</t>
  </si>
  <si>
    <t>$1,500 – $2,500 project</t>
  </si>
  <si>
    <t>$3,000 – $4,500 proje</t>
  </si>
  <si>
    <t>$1,000 – $2,000 setup</t>
  </si>
  <si>
    <t>$2,000 – $3,000 setup</t>
  </si>
  <si>
    <t>$3,500 – $5,000 s</t>
  </si>
  <si>
    <t xml:space="preserve">Quarterly Business Helath Check Packages </t>
  </si>
  <si>
    <t>$400 – $600 / quarter</t>
  </si>
  <si>
    <t>$800 – $1,200 / quarter</t>
  </si>
  <si>
    <t>$1,500 – $2,500 / quarter</t>
  </si>
  <si>
    <t>Custom Report Identifying 5 ways to increase profit margin using existing data</t>
  </si>
  <si>
    <t>$400 – $700 one-time</t>
  </si>
  <si>
    <t>$800 – $1,000 one-time</t>
  </si>
  <si>
    <t>$1,200 – $1,500 one-time</t>
  </si>
  <si>
    <t>Tier 3-Strategic Growth Consulting (High-End Layer)</t>
  </si>
  <si>
    <t>$1,200 – $2,000 / mo</t>
  </si>
  <si>
    <t>$2,500 – $5,000 / mo</t>
  </si>
  <si>
    <t>$6,000 – $9,000 / mo</t>
  </si>
  <si>
    <t>Not sure about offering yet</t>
  </si>
  <si>
    <t>$4,000 – $6,000 project</t>
  </si>
  <si>
    <t>$1,800 – $2,500 project</t>
  </si>
  <si>
    <t>$3,000 – $4,000 project</t>
  </si>
  <si>
    <t>$3,500 – $5,000 project</t>
  </si>
  <si>
    <t>$6,000 – $8,000 project</t>
  </si>
  <si>
    <t>Financial model development (3-5 year projections)</t>
  </si>
  <si>
    <t>$5,000 – $7,000 project</t>
  </si>
  <si>
    <t>$1,500 – $2,500 package</t>
  </si>
  <si>
    <t>$2,500 – $4,000 package</t>
  </si>
  <si>
    <t>$4,000 – $6,000 package</t>
  </si>
  <si>
    <t>Financial Strategy Intensive</t>
  </si>
  <si>
    <t>90-minute workshop analyzing business goals, bottlenecks, and systems (great for onboarding new consulting clients)</t>
  </si>
  <si>
    <t>$250 – $400 session</t>
  </si>
  <si>
    <t>$400 – $600 session</t>
  </si>
  <si>
    <t>$600 – $900 session</t>
  </si>
  <si>
    <t>Tier 4: Business Reinvention (Long-term Vision Layer)</t>
  </si>
  <si>
    <t>AI-driven forecasting implementation (Power BI + ChatGPT or Gemini integration)</t>
  </si>
  <si>
    <t>$3,000 – $5,000 project</t>
  </si>
  <si>
    <t>$6,000 – $10,000 project</t>
  </si>
  <si>
    <t>$10,000 – $15,000 project</t>
  </si>
  <si>
    <t>Digital transformation audits (process efficiency + automation mapping)</t>
  </si>
  <si>
    <t>$2,500 – $4,000 project</t>
  </si>
  <si>
    <t>$5,000 – $8,000 project</t>
  </si>
  <si>
    <t>$8,000 – $12,000 project</t>
  </si>
  <si>
    <t>Sustainability &amp; ESG metrics tracking for mid-market firms</t>
  </si>
  <si>
    <t>$2,000 – $3,000 setup (+ $500 / mo maintenance)</t>
  </si>
  <si>
    <t>$4,000 – $6,000 setup (+ $800 / mo maintenance)</t>
  </si>
  <si>
    <t>$6,000 – $9,000 setup (+ $1,200 / mo maintenance)</t>
  </si>
  <si>
    <t>Business turnaround strategy packages</t>
  </si>
  <si>
    <t>$6,000 – $9,000 project</t>
  </si>
  <si>
    <t>Strategic workshops for founders (vision alignment, growth modeling)</t>
  </si>
  <si>
    <t>$500 – $800 session</t>
  </si>
  <si>
    <t>$1,000 – $1,500 session</t>
  </si>
  <si>
    <t>$2,000 – $3,000 session</t>
  </si>
  <si>
    <t>Tier 4 - AI-driven forecasting implementation (Top Layer)</t>
  </si>
  <si>
    <t>Tier 4 - Digital Transformation Audits (Top Layer)</t>
  </si>
  <si>
    <t>Tier 4 - Sustainability &amp; ESG Metric Tracking (Top Layer)</t>
  </si>
  <si>
    <t>Tier 4 - Business Turnaround Strategy Packages (Top Layer)</t>
  </si>
  <si>
    <t>Tier 4 - Strategic Workshops for Founders (Top Layer)</t>
  </si>
  <si>
    <t>Power BI + ChatGPT or Gemini integration</t>
  </si>
  <si>
    <t>Process efficiency + automation mapping</t>
  </si>
  <si>
    <t>Vision alignment, growth modeling</t>
  </si>
  <si>
    <t>$120–$180/mo</t>
  </si>
  <si>
    <t>$70–$100/mo</t>
  </si>
  <si>
    <t>$15–$20/mo</t>
  </si>
  <si>
    <t>$25–$40/mo</t>
  </si>
  <si>
    <t>$60–$90/mo</t>
  </si>
  <si>
    <t>$90–$130/mo</t>
  </si>
  <si>
    <t>$50–$75/mo</t>
  </si>
  <si>
    <t>$50-$100/mo</t>
  </si>
  <si>
    <t>$100-$150/mo</t>
  </si>
  <si>
    <t>$200-$500/mo</t>
  </si>
  <si>
    <t>$40–$60/mo</t>
  </si>
  <si>
    <t>$110–$150/mo</t>
  </si>
  <si>
    <t>$220–$300/mo</t>
  </si>
  <si>
    <t>Maintenance - KPI Dashboard Design</t>
  </si>
  <si>
    <t>Power BI, Excel Power Query</t>
  </si>
  <si>
    <t>Maintenance - Budgeting and Forecast Templates</t>
  </si>
  <si>
    <t xml:space="preserve">Maintenance - Workflow Automation </t>
  </si>
  <si>
    <t>(Bank Feeds, Reporting Pipelines)</t>
  </si>
  <si>
    <t>Maintenance - Financial model development</t>
  </si>
  <si>
    <t xml:space="preserve"> (3-5 year projections)</t>
  </si>
  <si>
    <t>(Power BI + ChatGPT or Gemini integration)</t>
  </si>
  <si>
    <t xml:space="preserve">Maintenance - AI-driven forecasting implementation </t>
  </si>
  <si>
    <t>Maintenance - Sustainability &amp; ESG metrics tracking</t>
  </si>
  <si>
    <t>As Needed</t>
  </si>
  <si>
    <t>As Needed Monthly</t>
  </si>
  <si>
    <t>Other: Maintenance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</si>
</sst>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2" fillId="0" borderId="0" xfId="0" applyFont="1"/>
    <xf numFmtId="0" fontId="1" fillId="2" borderId="12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0" borderId="6" xfId="0" applyBorder="1"/>
    <xf numFmtId="0" fontId="0" fillId="0" borderId="8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5" xfId="0" applyBorder="1" applyAlignment="1">
      <alignment horizontal="left" vertical="top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0" borderId="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1" fillId="4" borderId="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0A02-48EC-4D64-B5A5-3F4CEEBACF61}">
  <dimension ref="A3:J40"/>
  <sheetViews>
    <sheetView tabSelected="1" zoomScale="70" zoomScaleNormal="70" workbookViewId="0">
      <selection activeCell="A35" sqref="A35"/>
    </sheetView>
  </sheetViews>
  <sheetFormatPr defaultRowHeight="14.25" x14ac:dyDescent="0.45"/>
  <cols>
    <col min="1" max="1" width="67.796875" bestFit="1" customWidth="1"/>
    <col min="2" max="2" width="26.53125" customWidth="1"/>
    <col min="3" max="3" width="24.265625" customWidth="1"/>
    <col min="4" max="4" width="39.73046875" bestFit="1" customWidth="1"/>
    <col min="5" max="5" width="21.73046875" bestFit="1" customWidth="1"/>
    <col min="6" max="6" width="27.53125" customWidth="1"/>
    <col min="8" max="8" width="17.59765625" bestFit="1" customWidth="1"/>
    <col min="9" max="9" width="35.6640625" bestFit="1" customWidth="1"/>
    <col min="10" max="10" width="18.86328125" bestFit="1" customWidth="1"/>
  </cols>
  <sheetData>
    <row r="3" spans="1:10" x14ac:dyDescent="0.45">
      <c r="A3" s="41" t="s">
        <v>55</v>
      </c>
      <c r="B3" s="42"/>
      <c r="C3" s="42"/>
      <c r="D3" s="42"/>
      <c r="E3" s="42"/>
      <c r="F3" s="43"/>
    </row>
    <row r="4" spans="1:10" ht="42.75" x14ac:dyDescent="0.45">
      <c r="A4" s="16" t="s">
        <v>56</v>
      </c>
      <c r="B4" s="31" t="s">
        <v>57</v>
      </c>
      <c r="C4" s="32" t="s">
        <v>58</v>
      </c>
      <c r="D4" s="32" t="s">
        <v>59</v>
      </c>
      <c r="E4" s="32" t="s">
        <v>60</v>
      </c>
      <c r="F4" s="17" t="s">
        <v>61</v>
      </c>
      <c r="H4" s="35" t="s">
        <v>62</v>
      </c>
      <c r="I4" s="36"/>
      <c r="J4" s="37"/>
    </row>
    <row r="5" spans="1:10" x14ac:dyDescent="0.45">
      <c r="A5" s="44" t="s">
        <v>63</v>
      </c>
      <c r="B5" s="45"/>
      <c r="C5" s="45"/>
      <c r="D5" s="45"/>
      <c r="E5" s="45"/>
      <c r="F5" s="46"/>
      <c r="H5" s="18" t="s">
        <v>64</v>
      </c>
      <c r="I5" s="19" t="s">
        <v>65</v>
      </c>
      <c r="J5" s="20" t="s">
        <v>66</v>
      </c>
    </row>
    <row r="6" spans="1:10" x14ac:dyDescent="0.45">
      <c r="A6" s="13" t="s">
        <v>14</v>
      </c>
      <c r="B6" s="27"/>
      <c r="C6" s="28" t="s">
        <v>67</v>
      </c>
      <c r="D6" s="28" t="s">
        <v>68</v>
      </c>
      <c r="E6" s="28" t="s">
        <v>69</v>
      </c>
      <c r="F6" s="14"/>
      <c r="H6" s="21" t="s">
        <v>70</v>
      </c>
      <c r="I6" s="22" t="s">
        <v>71</v>
      </c>
      <c r="J6" s="23" t="s">
        <v>72</v>
      </c>
    </row>
    <row r="7" spans="1:10" ht="57" x14ac:dyDescent="0.45">
      <c r="A7" s="13" t="s">
        <v>73</v>
      </c>
      <c r="B7" s="27" t="s">
        <v>74</v>
      </c>
      <c r="C7" s="28" t="s">
        <v>75</v>
      </c>
      <c r="D7" s="28" t="s">
        <v>68</v>
      </c>
      <c r="E7" s="28" t="s">
        <v>69</v>
      </c>
      <c r="F7" s="14" t="s">
        <v>76</v>
      </c>
      <c r="H7" s="21" t="s">
        <v>77</v>
      </c>
      <c r="I7" s="22" t="s">
        <v>78</v>
      </c>
      <c r="J7" s="23" t="s">
        <v>79</v>
      </c>
    </row>
    <row r="8" spans="1:10" x14ac:dyDescent="0.45">
      <c r="A8" s="13" t="s">
        <v>80</v>
      </c>
      <c r="B8" s="27"/>
      <c r="C8" s="28" t="s">
        <v>81</v>
      </c>
      <c r="D8" s="28" t="s">
        <v>82</v>
      </c>
      <c r="E8" s="28" t="s">
        <v>83</v>
      </c>
      <c r="F8" s="14"/>
      <c r="H8" s="21" t="s">
        <v>84</v>
      </c>
      <c r="I8" s="22" t="s">
        <v>85</v>
      </c>
      <c r="J8" s="23" t="s">
        <v>86</v>
      </c>
    </row>
    <row r="9" spans="1:10" x14ac:dyDescent="0.45">
      <c r="A9" s="13" t="s">
        <v>87</v>
      </c>
      <c r="B9" s="27"/>
      <c r="C9" s="28" t="s">
        <v>88</v>
      </c>
      <c r="D9" s="28" t="s">
        <v>89</v>
      </c>
      <c r="E9" s="28" t="s">
        <v>90</v>
      </c>
      <c r="F9" s="14"/>
      <c r="H9" s="24" t="s">
        <v>91</v>
      </c>
      <c r="I9" s="25" t="s">
        <v>92</v>
      </c>
      <c r="J9" s="26" t="s">
        <v>93</v>
      </c>
    </row>
    <row r="10" spans="1:10" x14ac:dyDescent="0.45">
      <c r="A10" s="13" t="s">
        <v>18</v>
      </c>
      <c r="B10" s="27" t="s">
        <v>94</v>
      </c>
      <c r="C10" s="28" t="s">
        <v>95</v>
      </c>
      <c r="D10" s="28" t="s">
        <v>96</v>
      </c>
      <c r="E10" s="28" t="s">
        <v>97</v>
      </c>
      <c r="F10" s="14"/>
    </row>
    <row r="11" spans="1:10" x14ac:dyDescent="0.45">
      <c r="A11" s="13" t="s">
        <v>19</v>
      </c>
      <c r="B11" s="27"/>
      <c r="C11" s="28" t="s">
        <v>98</v>
      </c>
      <c r="D11" s="28" t="s">
        <v>99</v>
      </c>
      <c r="E11" s="28" t="s">
        <v>99</v>
      </c>
      <c r="F11" s="14"/>
    </row>
    <row r="12" spans="1:10" x14ac:dyDescent="0.45">
      <c r="A12" s="38" t="s">
        <v>100</v>
      </c>
      <c r="B12" s="39"/>
      <c r="C12" s="39"/>
      <c r="D12" s="39"/>
      <c r="E12" s="39"/>
      <c r="F12" s="40"/>
    </row>
    <row r="13" spans="1:10" ht="28.5" x14ac:dyDescent="0.45">
      <c r="A13" s="13" t="s">
        <v>101</v>
      </c>
      <c r="B13" s="27"/>
      <c r="C13" s="27" t="s">
        <v>102</v>
      </c>
      <c r="D13" s="27" t="s">
        <v>103</v>
      </c>
      <c r="E13" s="27" t="s">
        <v>104</v>
      </c>
      <c r="F13" s="14"/>
      <c r="G13" s="27"/>
    </row>
    <row r="14" spans="1:10" x14ac:dyDescent="0.45">
      <c r="A14" s="13" t="s">
        <v>21</v>
      </c>
      <c r="B14" s="27"/>
      <c r="C14" s="27" t="s">
        <v>105</v>
      </c>
      <c r="D14" s="27" t="s">
        <v>106</v>
      </c>
      <c r="E14" s="27" t="s">
        <v>107</v>
      </c>
      <c r="F14" s="14"/>
    </row>
    <row r="15" spans="1:10" x14ac:dyDescent="0.45">
      <c r="A15" s="13" t="s">
        <v>22</v>
      </c>
      <c r="B15" s="27"/>
      <c r="C15" s="27" t="s">
        <v>108</v>
      </c>
      <c r="D15" s="27" t="s">
        <v>109</v>
      </c>
      <c r="E15" s="27" t="s">
        <v>110</v>
      </c>
      <c r="F15" s="14"/>
    </row>
    <row r="16" spans="1:10" x14ac:dyDescent="0.45">
      <c r="A16" s="13" t="s">
        <v>23</v>
      </c>
      <c r="B16" s="27"/>
      <c r="C16" s="27" t="s">
        <v>111</v>
      </c>
      <c r="D16" s="27" t="s">
        <v>112</v>
      </c>
      <c r="E16" s="27" t="s">
        <v>113</v>
      </c>
      <c r="F16" s="14"/>
      <c r="G16" s="27"/>
    </row>
    <row r="17" spans="1:7" x14ac:dyDescent="0.45">
      <c r="A17" s="13" t="s">
        <v>24</v>
      </c>
      <c r="B17" s="27"/>
      <c r="C17" s="27" t="s">
        <v>114</v>
      </c>
      <c r="D17" s="27" t="s">
        <v>115</v>
      </c>
      <c r="E17" s="27" t="s">
        <v>116</v>
      </c>
      <c r="F17" s="14"/>
      <c r="G17" s="27"/>
    </row>
    <row r="18" spans="1:7" x14ac:dyDescent="0.45">
      <c r="A18" s="13" t="s">
        <v>117</v>
      </c>
      <c r="B18" s="27"/>
      <c r="C18" s="27" t="s">
        <v>118</v>
      </c>
      <c r="D18" s="27" t="s">
        <v>119</v>
      </c>
      <c r="E18" s="27" t="s">
        <v>120</v>
      </c>
      <c r="F18" s="14"/>
    </row>
    <row r="19" spans="1:7" ht="42.75" x14ac:dyDescent="0.45">
      <c r="A19" s="13" t="s">
        <v>26</v>
      </c>
      <c r="B19" s="27" t="s">
        <v>121</v>
      </c>
      <c r="C19" s="28" t="s">
        <v>122</v>
      </c>
      <c r="D19" s="28" t="s">
        <v>123</v>
      </c>
      <c r="E19" s="28" t="s">
        <v>124</v>
      </c>
      <c r="F19" s="14"/>
    </row>
    <row r="20" spans="1:7" x14ac:dyDescent="0.45">
      <c r="A20" s="38" t="s">
        <v>125</v>
      </c>
      <c r="B20" s="39"/>
      <c r="C20" s="39"/>
      <c r="D20" s="39"/>
      <c r="E20" s="39"/>
      <c r="F20" s="40"/>
    </row>
    <row r="21" spans="1:7" x14ac:dyDescent="0.45">
      <c r="A21" s="13" t="s">
        <v>27</v>
      </c>
      <c r="B21" s="27"/>
      <c r="C21" s="28" t="s">
        <v>126</v>
      </c>
      <c r="D21" s="28" t="s">
        <v>127</v>
      </c>
      <c r="E21" s="28" t="s">
        <v>128</v>
      </c>
      <c r="F21" s="15" t="s">
        <v>129</v>
      </c>
    </row>
    <row r="22" spans="1:7" x14ac:dyDescent="0.45">
      <c r="A22" s="13" t="s">
        <v>28</v>
      </c>
      <c r="B22" s="27"/>
      <c r="C22" s="27" t="s">
        <v>95</v>
      </c>
      <c r="D22" s="27" t="s">
        <v>96</v>
      </c>
      <c r="E22" s="27" t="s">
        <v>130</v>
      </c>
      <c r="F22" s="14"/>
    </row>
    <row r="23" spans="1:7" x14ac:dyDescent="0.45">
      <c r="A23" s="13" t="s">
        <v>29</v>
      </c>
      <c r="B23" s="27"/>
      <c r="C23" s="27" t="s">
        <v>111</v>
      </c>
      <c r="D23" s="27" t="s">
        <v>131</v>
      </c>
      <c r="E23" s="27" t="s">
        <v>132</v>
      </c>
      <c r="F23" s="14"/>
    </row>
    <row r="24" spans="1:7" x14ac:dyDescent="0.45">
      <c r="A24" s="13" t="s">
        <v>30</v>
      </c>
      <c r="B24" s="27"/>
      <c r="C24" s="28" t="s">
        <v>109</v>
      </c>
      <c r="D24" s="28" t="s">
        <v>133</v>
      </c>
      <c r="E24" s="28" t="s">
        <v>134</v>
      </c>
      <c r="F24" s="15" t="s">
        <v>129</v>
      </c>
    </row>
    <row r="25" spans="1:7" x14ac:dyDescent="0.45">
      <c r="A25" s="13" t="s">
        <v>135</v>
      </c>
      <c r="B25" s="27"/>
      <c r="C25" s="28" t="s">
        <v>109</v>
      </c>
      <c r="D25" s="28" t="s">
        <v>133</v>
      </c>
      <c r="E25" s="28" t="s">
        <v>136</v>
      </c>
      <c r="F25" s="15" t="s">
        <v>129</v>
      </c>
      <c r="G25" s="28"/>
    </row>
    <row r="26" spans="1:7" x14ac:dyDescent="0.45">
      <c r="A26" s="13" t="s">
        <v>32</v>
      </c>
      <c r="B26" s="27"/>
      <c r="C26" s="28" t="s">
        <v>137</v>
      </c>
      <c r="D26" s="28" t="s">
        <v>138</v>
      </c>
      <c r="E26" s="28" t="s">
        <v>139</v>
      </c>
      <c r="F26" s="14"/>
    </row>
    <row r="27" spans="1:7" ht="57" x14ac:dyDescent="0.45">
      <c r="A27" s="13" t="s">
        <v>140</v>
      </c>
      <c r="B27" s="27" t="s">
        <v>141</v>
      </c>
      <c r="C27" s="27" t="s">
        <v>142</v>
      </c>
      <c r="D27" s="28" t="s">
        <v>143</v>
      </c>
      <c r="E27" s="28" t="s">
        <v>144</v>
      </c>
      <c r="F27" s="15" t="s">
        <v>129</v>
      </c>
    </row>
    <row r="28" spans="1:7" x14ac:dyDescent="0.45">
      <c r="A28" s="38" t="s">
        <v>145</v>
      </c>
      <c r="B28" s="39"/>
      <c r="C28" s="39"/>
      <c r="D28" s="39"/>
      <c r="E28" s="39"/>
      <c r="F28" s="40"/>
    </row>
    <row r="29" spans="1:7" x14ac:dyDescent="0.45">
      <c r="A29" s="13" t="s">
        <v>146</v>
      </c>
      <c r="B29" s="27"/>
      <c r="C29" s="27" t="s">
        <v>147</v>
      </c>
      <c r="D29" s="27" t="s">
        <v>148</v>
      </c>
      <c r="E29" s="27" t="s">
        <v>149</v>
      </c>
      <c r="F29" s="14"/>
      <c r="G29" s="27"/>
    </row>
    <row r="30" spans="1:7" x14ac:dyDescent="0.45">
      <c r="A30" s="13" t="s">
        <v>150</v>
      </c>
      <c r="B30" s="27"/>
      <c r="C30" s="27" t="s">
        <v>151</v>
      </c>
      <c r="D30" s="27" t="s">
        <v>152</v>
      </c>
      <c r="E30" s="28" t="s">
        <v>153</v>
      </c>
      <c r="F30" s="14"/>
    </row>
    <row r="31" spans="1:7" ht="42.75" x14ac:dyDescent="0.45">
      <c r="A31" s="13" t="s">
        <v>154</v>
      </c>
      <c r="B31" s="27"/>
      <c r="C31" s="27" t="s">
        <v>155</v>
      </c>
      <c r="D31" s="28" t="s">
        <v>156</v>
      </c>
      <c r="E31" s="27" t="s">
        <v>157</v>
      </c>
      <c r="F31" s="14"/>
      <c r="G31" s="27"/>
    </row>
    <row r="32" spans="1:7" x14ac:dyDescent="0.45">
      <c r="A32" s="13" t="s">
        <v>158</v>
      </c>
      <c r="B32" s="27"/>
      <c r="C32" s="27" t="s">
        <v>147</v>
      </c>
      <c r="D32" s="28" t="s">
        <v>159</v>
      </c>
      <c r="E32" s="27" t="s">
        <v>149</v>
      </c>
      <c r="F32" s="14"/>
    </row>
    <row r="33" spans="1:6" x14ac:dyDescent="0.45">
      <c r="A33" s="13" t="s">
        <v>160</v>
      </c>
      <c r="B33" s="27"/>
      <c r="C33" s="27" t="s">
        <v>161</v>
      </c>
      <c r="D33" s="27" t="s">
        <v>162</v>
      </c>
      <c r="E33" s="27" t="s">
        <v>163</v>
      </c>
      <c r="F33" s="15" t="s">
        <v>129</v>
      </c>
    </row>
    <row r="34" spans="1:6" x14ac:dyDescent="0.45">
      <c r="A34" s="38" t="s">
        <v>197</v>
      </c>
      <c r="B34" s="39"/>
      <c r="C34" s="39"/>
      <c r="D34" s="39"/>
      <c r="E34" s="39"/>
      <c r="F34" s="40"/>
    </row>
    <row r="35" spans="1:6" x14ac:dyDescent="0.45">
      <c r="A35" s="30" t="s">
        <v>101</v>
      </c>
      <c r="B35" s="28"/>
      <c r="C35" s="28" t="s">
        <v>179</v>
      </c>
      <c r="D35" s="28" t="s">
        <v>180</v>
      </c>
      <c r="E35" s="28" t="s">
        <v>181</v>
      </c>
      <c r="F35" s="9"/>
    </row>
    <row r="36" spans="1:6" x14ac:dyDescent="0.45">
      <c r="A36" s="30" t="s">
        <v>23</v>
      </c>
      <c r="B36" s="28"/>
      <c r="C36" t="s">
        <v>174</v>
      </c>
      <c r="D36" t="s">
        <v>175</v>
      </c>
      <c r="E36" t="s">
        <v>176</v>
      </c>
      <c r="F36" s="9"/>
    </row>
    <row r="37" spans="1:6" x14ac:dyDescent="0.45">
      <c r="A37" s="30" t="s">
        <v>24</v>
      </c>
      <c r="B37" s="28"/>
      <c r="C37" t="s">
        <v>175</v>
      </c>
      <c r="D37" t="s">
        <v>178</v>
      </c>
      <c r="E37" t="s">
        <v>177</v>
      </c>
      <c r="F37" s="9"/>
    </row>
    <row r="38" spans="1:6" x14ac:dyDescent="0.45">
      <c r="A38" s="30" t="s">
        <v>135</v>
      </c>
      <c r="B38" s="28"/>
      <c r="C38" t="s">
        <v>182</v>
      </c>
      <c r="D38" t="s">
        <v>173</v>
      </c>
      <c r="E38" t="s">
        <v>183</v>
      </c>
      <c r="F38" s="15" t="s">
        <v>129</v>
      </c>
    </row>
    <row r="39" spans="1:6" x14ac:dyDescent="0.45">
      <c r="A39" s="30" t="s">
        <v>146</v>
      </c>
      <c r="B39" s="28"/>
      <c r="C39" t="s">
        <v>173</v>
      </c>
      <c r="D39" t="s">
        <v>172</v>
      </c>
      <c r="E39" t="s">
        <v>184</v>
      </c>
      <c r="F39" s="9"/>
    </row>
    <row r="40" spans="1:6" x14ac:dyDescent="0.45">
      <c r="A40" s="33" t="s">
        <v>154</v>
      </c>
      <c r="B40" s="34"/>
      <c r="C40" s="2" t="s">
        <v>174</v>
      </c>
      <c r="D40" s="2" t="s">
        <v>175</v>
      </c>
      <c r="E40" s="2" t="s">
        <v>176</v>
      </c>
      <c r="F40" s="10"/>
    </row>
  </sheetData>
  <mergeCells count="7">
    <mergeCell ref="H4:J4"/>
    <mergeCell ref="A34:F34"/>
    <mergeCell ref="A3:F3"/>
    <mergeCell ref="A5:F5"/>
    <mergeCell ref="A12:F12"/>
    <mergeCell ref="A20:F20"/>
    <mergeCell ref="A28:F2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opLeftCell="A7" zoomScale="64" workbookViewId="0">
      <selection activeCell="D47" sqref="D47"/>
    </sheetView>
  </sheetViews>
  <sheetFormatPr defaultRowHeight="14.25" x14ac:dyDescent="0.45"/>
  <cols>
    <col min="1" max="1" width="27.265625" bestFit="1" customWidth="1"/>
    <col min="2" max="2" width="11" bestFit="1" customWidth="1"/>
    <col min="3" max="3" width="44.1328125" bestFit="1" customWidth="1"/>
    <col min="4" max="4" width="50.59765625" bestFit="1" customWidth="1"/>
    <col min="5" max="5" width="8.59765625" bestFit="1" customWidth="1"/>
    <col min="6" max="6" width="8.73046875" bestFit="1" customWidth="1"/>
    <col min="7" max="7" width="9.1328125" bestFit="1" customWidth="1"/>
    <col min="8" max="8" width="9.6640625" bestFit="1" customWidth="1"/>
    <col min="9" max="9" width="10.06640625" bestFit="1" customWidth="1"/>
    <col min="10" max="10" width="8.53125" bestFit="1" customWidth="1"/>
    <col min="11" max="11" width="8.9296875" bestFit="1" customWidth="1"/>
    <col min="12" max="13" width="5.06640625" bestFit="1" customWidth="1"/>
    <col min="14" max="14" width="13.19921875" bestFit="1" customWidth="1"/>
    <col min="15" max="15" width="7.86328125" bestFit="1" customWidth="1"/>
    <col min="16" max="16" width="19.9296875" bestFit="1" customWidth="1"/>
    <col min="17" max="17" width="16.73046875" customWidth="1"/>
  </cols>
  <sheetData>
    <row r="1" spans="1:16" x14ac:dyDescent="0.45">
      <c r="A1" s="1" t="s">
        <v>46</v>
      </c>
    </row>
    <row r="2" spans="1:16" x14ac:dyDescent="0.45">
      <c r="C2" s="41" t="s">
        <v>54</v>
      </c>
      <c r="D2" s="43"/>
    </row>
    <row r="3" spans="1:16" x14ac:dyDescent="0.45">
      <c r="C3" s="11" t="s">
        <v>41</v>
      </c>
      <c r="D3" s="11" t="s">
        <v>42</v>
      </c>
    </row>
    <row r="4" spans="1:16" x14ac:dyDescent="0.45">
      <c r="C4" s="12" t="s">
        <v>47</v>
      </c>
      <c r="D4" s="12" t="s">
        <v>45</v>
      </c>
    </row>
    <row r="5" spans="1:16" x14ac:dyDescent="0.45">
      <c r="A5" t="s">
        <v>43</v>
      </c>
      <c r="B5" t="str">
        <f>C4</f>
        <v>Solo/Startup</v>
      </c>
      <c r="C5" s="5"/>
    </row>
    <row r="6" spans="1:16" x14ac:dyDescent="0.45">
      <c r="A6" t="s">
        <v>44</v>
      </c>
      <c r="B6" t="str">
        <f>D4</f>
        <v>High</v>
      </c>
    </row>
    <row r="8" spans="1:16" x14ac:dyDescent="0.45">
      <c r="A8" s="47" t="s">
        <v>52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 t="s">
        <v>53</v>
      </c>
      <c r="M8" s="47"/>
      <c r="N8" s="47"/>
      <c r="O8" s="47"/>
      <c r="P8" s="47"/>
    </row>
    <row r="9" spans="1:16" x14ac:dyDescent="0.45">
      <c r="A9" s="7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8" t="s">
        <v>10</v>
      </c>
      <c r="L9" s="7" t="s">
        <v>48</v>
      </c>
      <c r="M9" s="6" t="s">
        <v>45</v>
      </c>
      <c r="N9" s="6" t="s">
        <v>49</v>
      </c>
      <c r="O9" s="6" t="s">
        <v>50</v>
      </c>
      <c r="P9" s="8" t="s">
        <v>51</v>
      </c>
    </row>
    <row r="10" spans="1:16" x14ac:dyDescent="0.45">
      <c r="A10" s="3" t="b">
        <v>0</v>
      </c>
      <c r="B10">
        <v>1</v>
      </c>
      <c r="C10" t="s">
        <v>11</v>
      </c>
      <c r="D10" t="s">
        <v>14</v>
      </c>
      <c r="E10" t="s">
        <v>34</v>
      </c>
      <c r="F10">
        <v>500</v>
      </c>
      <c r="G10">
        <v>800</v>
      </c>
      <c r="H10">
        <v>900</v>
      </c>
      <c r="I10">
        <v>1500</v>
      </c>
      <c r="J10">
        <v>1800</v>
      </c>
      <c r="K10" s="9">
        <v>2800</v>
      </c>
      <c r="L10" s="3">
        <f t="shared" ref="L10:L40" si="0">IF($B$5="Solo/Startup", F10, IF($B$5="Small Business", H10, J10))</f>
        <v>500</v>
      </c>
      <c r="M10">
        <f t="shared" ref="M10:M40" si="1">IF($B$5="Solo/Startup", G10, IF($B$5="Small Business", I10, K10))</f>
        <v>800</v>
      </c>
      <c r="N10">
        <f t="shared" ref="N10:N40" si="2">IF($B$6="Low", L10, IF($B$6="High", M10, AVERAGE(L10,M10)))</f>
        <v>800</v>
      </c>
      <c r="O10">
        <f t="shared" ref="O10:O40" si="3">IF(A10, B10*N10, 0)</f>
        <v>0</v>
      </c>
      <c r="P10" s="9" t="str">
        <f t="shared" ref="P10:P29" si="4">IF(E10="Monthly","Monthly","One-time/Non-monthly")</f>
        <v>Monthly</v>
      </c>
    </row>
    <row r="11" spans="1:16" x14ac:dyDescent="0.45">
      <c r="A11" s="3" t="b">
        <v>0</v>
      </c>
      <c r="B11">
        <v>1</v>
      </c>
      <c r="C11" t="s">
        <v>11</v>
      </c>
      <c r="D11" t="s">
        <v>15</v>
      </c>
      <c r="E11" t="s">
        <v>34</v>
      </c>
      <c r="F11">
        <v>500</v>
      </c>
      <c r="G11">
        <v>800</v>
      </c>
      <c r="H11">
        <v>900</v>
      </c>
      <c r="I11">
        <v>1500</v>
      </c>
      <c r="J11">
        <v>1800</v>
      </c>
      <c r="K11" s="9">
        <v>2800</v>
      </c>
      <c r="L11" s="3">
        <f t="shared" si="0"/>
        <v>500</v>
      </c>
      <c r="M11">
        <f t="shared" si="1"/>
        <v>800</v>
      </c>
      <c r="N11">
        <f t="shared" si="2"/>
        <v>800</v>
      </c>
      <c r="O11">
        <f t="shared" si="3"/>
        <v>0</v>
      </c>
      <c r="P11" s="9" t="str">
        <f t="shared" si="4"/>
        <v>Monthly</v>
      </c>
    </row>
    <row r="12" spans="1:16" x14ac:dyDescent="0.45">
      <c r="A12" s="3" t="b">
        <v>0</v>
      </c>
      <c r="B12">
        <v>1</v>
      </c>
      <c r="C12" t="s">
        <v>11</v>
      </c>
      <c r="D12" t="s">
        <v>16</v>
      </c>
      <c r="E12" t="s">
        <v>34</v>
      </c>
      <c r="F12">
        <v>150</v>
      </c>
      <c r="G12">
        <v>300</v>
      </c>
      <c r="H12">
        <v>350</v>
      </c>
      <c r="I12">
        <v>600</v>
      </c>
      <c r="J12">
        <v>700</v>
      </c>
      <c r="K12" s="9">
        <v>1200</v>
      </c>
      <c r="L12" s="3">
        <f t="shared" si="0"/>
        <v>150</v>
      </c>
      <c r="M12">
        <f t="shared" si="1"/>
        <v>300</v>
      </c>
      <c r="N12">
        <f t="shared" si="2"/>
        <v>300</v>
      </c>
      <c r="O12">
        <f t="shared" si="3"/>
        <v>0</v>
      </c>
      <c r="P12" s="9" t="str">
        <f t="shared" si="4"/>
        <v>Monthly</v>
      </c>
    </row>
    <row r="13" spans="1:16" x14ac:dyDescent="0.45">
      <c r="A13" s="3" t="b">
        <v>0</v>
      </c>
      <c r="B13">
        <v>1</v>
      </c>
      <c r="C13" t="s">
        <v>11</v>
      </c>
      <c r="D13" t="s">
        <v>17</v>
      </c>
      <c r="E13" t="s">
        <v>35</v>
      </c>
      <c r="F13">
        <v>750</v>
      </c>
      <c r="G13">
        <v>1500</v>
      </c>
      <c r="H13">
        <v>2500</v>
      </c>
      <c r="I13">
        <v>3000</v>
      </c>
      <c r="J13">
        <v>3500</v>
      </c>
      <c r="K13" s="9">
        <v>5000</v>
      </c>
      <c r="L13" s="3">
        <f t="shared" si="0"/>
        <v>750</v>
      </c>
      <c r="M13">
        <f t="shared" si="1"/>
        <v>1500</v>
      </c>
      <c r="N13">
        <f t="shared" si="2"/>
        <v>1500</v>
      </c>
      <c r="O13">
        <f t="shared" si="3"/>
        <v>0</v>
      </c>
      <c r="P13" s="9" t="str">
        <f t="shared" si="4"/>
        <v>One-time/Non-monthly</v>
      </c>
    </row>
    <row r="14" spans="1:16" x14ac:dyDescent="0.45">
      <c r="A14" s="3" t="b">
        <v>0</v>
      </c>
      <c r="B14">
        <v>1</v>
      </c>
      <c r="C14" t="s">
        <v>11</v>
      </c>
      <c r="D14" t="s">
        <v>18</v>
      </c>
      <c r="E14" t="s">
        <v>35</v>
      </c>
      <c r="F14">
        <v>1000</v>
      </c>
      <c r="G14">
        <v>2000</v>
      </c>
      <c r="H14">
        <v>2500</v>
      </c>
      <c r="I14">
        <v>3500</v>
      </c>
      <c r="J14">
        <v>4000</v>
      </c>
      <c r="K14" s="9">
        <v>5000</v>
      </c>
      <c r="L14" s="3">
        <f t="shared" si="0"/>
        <v>1000</v>
      </c>
      <c r="M14">
        <f t="shared" si="1"/>
        <v>2000</v>
      </c>
      <c r="N14">
        <f t="shared" si="2"/>
        <v>2000</v>
      </c>
      <c r="O14">
        <f t="shared" si="3"/>
        <v>0</v>
      </c>
      <c r="P14" s="9" t="str">
        <f t="shared" si="4"/>
        <v>One-time/Non-monthly</v>
      </c>
    </row>
    <row r="15" spans="1:16" x14ac:dyDescent="0.45">
      <c r="A15" s="3" t="b">
        <v>0</v>
      </c>
      <c r="B15">
        <v>1</v>
      </c>
      <c r="C15" t="s">
        <v>11</v>
      </c>
      <c r="D15" t="s">
        <v>19</v>
      </c>
      <c r="E15" t="s">
        <v>34</v>
      </c>
      <c r="F15">
        <v>100</v>
      </c>
      <c r="G15">
        <v>150</v>
      </c>
      <c r="H15">
        <v>150</v>
      </c>
      <c r="I15">
        <v>200</v>
      </c>
      <c r="J15">
        <v>150</v>
      </c>
      <c r="K15" s="9">
        <v>200</v>
      </c>
      <c r="L15" s="3">
        <f t="shared" si="0"/>
        <v>100</v>
      </c>
      <c r="M15">
        <f t="shared" si="1"/>
        <v>150</v>
      </c>
      <c r="N15">
        <f t="shared" si="2"/>
        <v>150</v>
      </c>
      <c r="O15">
        <f t="shared" si="3"/>
        <v>0</v>
      </c>
      <c r="P15" s="9" t="str">
        <f t="shared" si="4"/>
        <v>Monthly</v>
      </c>
    </row>
    <row r="16" spans="1:16" x14ac:dyDescent="0.45">
      <c r="A16" s="3" t="b">
        <v>0</v>
      </c>
      <c r="B16">
        <v>1</v>
      </c>
      <c r="C16" t="s">
        <v>12</v>
      </c>
      <c r="D16" t="s">
        <v>20</v>
      </c>
      <c r="E16" t="s">
        <v>36</v>
      </c>
      <c r="F16">
        <v>1200</v>
      </c>
      <c r="G16">
        <v>2000</v>
      </c>
      <c r="H16">
        <v>2500</v>
      </c>
      <c r="I16">
        <v>3000</v>
      </c>
      <c r="J16">
        <v>4000</v>
      </c>
      <c r="K16" s="9">
        <v>7000</v>
      </c>
      <c r="L16" s="3">
        <f t="shared" si="0"/>
        <v>1200</v>
      </c>
      <c r="M16">
        <f t="shared" si="1"/>
        <v>2000</v>
      </c>
      <c r="N16">
        <f t="shared" si="2"/>
        <v>2000</v>
      </c>
      <c r="O16">
        <f t="shared" si="3"/>
        <v>0</v>
      </c>
      <c r="P16" s="9" t="str">
        <f t="shared" si="4"/>
        <v>One-time/Non-monthly</v>
      </c>
    </row>
    <row r="17" spans="1:16" x14ac:dyDescent="0.45">
      <c r="A17" s="3" t="b">
        <v>0</v>
      </c>
      <c r="B17">
        <v>1</v>
      </c>
      <c r="C17" t="s">
        <v>12</v>
      </c>
      <c r="D17" t="s">
        <v>21</v>
      </c>
      <c r="E17" t="s">
        <v>34</v>
      </c>
      <c r="F17">
        <v>800</v>
      </c>
      <c r="G17">
        <v>1200</v>
      </c>
      <c r="H17">
        <v>1500</v>
      </c>
      <c r="I17">
        <v>2500</v>
      </c>
      <c r="J17">
        <v>3000</v>
      </c>
      <c r="K17" s="9">
        <v>4000</v>
      </c>
      <c r="L17" s="3">
        <f t="shared" si="0"/>
        <v>800</v>
      </c>
      <c r="M17">
        <f t="shared" si="1"/>
        <v>1200</v>
      </c>
      <c r="N17">
        <f t="shared" si="2"/>
        <v>1200</v>
      </c>
      <c r="O17">
        <f t="shared" si="3"/>
        <v>0</v>
      </c>
      <c r="P17" s="9" t="str">
        <f t="shared" si="4"/>
        <v>Monthly</v>
      </c>
    </row>
    <row r="18" spans="1:16" x14ac:dyDescent="0.45">
      <c r="A18" s="3" t="b">
        <v>0</v>
      </c>
      <c r="B18">
        <v>1</v>
      </c>
      <c r="C18" t="s">
        <v>12</v>
      </c>
      <c r="D18" t="s">
        <v>22</v>
      </c>
      <c r="E18" t="s">
        <v>35</v>
      </c>
      <c r="F18">
        <v>1000</v>
      </c>
      <c r="G18">
        <v>1500</v>
      </c>
      <c r="H18">
        <v>2000</v>
      </c>
      <c r="I18">
        <v>3000</v>
      </c>
      <c r="J18">
        <v>3500</v>
      </c>
      <c r="K18" s="9">
        <v>5000</v>
      </c>
      <c r="L18" s="3">
        <f t="shared" si="0"/>
        <v>1000</v>
      </c>
      <c r="M18">
        <f t="shared" si="1"/>
        <v>1500</v>
      </c>
      <c r="N18">
        <f t="shared" si="2"/>
        <v>1500</v>
      </c>
      <c r="O18">
        <f t="shared" si="3"/>
        <v>0</v>
      </c>
      <c r="P18" s="9" t="str">
        <f t="shared" si="4"/>
        <v>One-time/Non-monthly</v>
      </c>
    </row>
    <row r="19" spans="1:16" x14ac:dyDescent="0.45">
      <c r="A19" s="3" t="b">
        <v>0</v>
      </c>
      <c r="B19">
        <v>1</v>
      </c>
      <c r="C19" t="s">
        <v>12</v>
      </c>
      <c r="D19" t="s">
        <v>23</v>
      </c>
      <c r="E19" t="s">
        <v>35</v>
      </c>
      <c r="F19">
        <v>800</v>
      </c>
      <c r="G19">
        <v>1200</v>
      </c>
      <c r="H19">
        <v>1500</v>
      </c>
      <c r="I19">
        <v>2500</v>
      </c>
      <c r="J19">
        <v>3000</v>
      </c>
      <c r="K19" s="9">
        <v>4500</v>
      </c>
      <c r="L19" s="3">
        <f t="shared" si="0"/>
        <v>800</v>
      </c>
      <c r="M19">
        <f t="shared" si="1"/>
        <v>1200</v>
      </c>
      <c r="N19">
        <f t="shared" si="2"/>
        <v>1200</v>
      </c>
      <c r="O19">
        <f t="shared" si="3"/>
        <v>0</v>
      </c>
      <c r="P19" s="9" t="str">
        <f t="shared" si="4"/>
        <v>One-time/Non-monthly</v>
      </c>
    </row>
    <row r="20" spans="1:16" x14ac:dyDescent="0.45">
      <c r="A20" s="3" t="b">
        <v>0</v>
      </c>
      <c r="B20">
        <v>1</v>
      </c>
      <c r="C20" t="s">
        <v>12</v>
      </c>
      <c r="D20" t="s">
        <v>24</v>
      </c>
      <c r="E20" t="s">
        <v>37</v>
      </c>
      <c r="F20">
        <v>1000</v>
      </c>
      <c r="G20">
        <v>2000</v>
      </c>
      <c r="H20">
        <v>2000</v>
      </c>
      <c r="I20">
        <v>3000</v>
      </c>
      <c r="J20">
        <v>3500</v>
      </c>
      <c r="K20" s="9">
        <v>5000</v>
      </c>
      <c r="L20" s="3">
        <f t="shared" si="0"/>
        <v>1000</v>
      </c>
      <c r="M20">
        <f t="shared" si="1"/>
        <v>2000</v>
      </c>
      <c r="N20">
        <f t="shared" si="2"/>
        <v>2000</v>
      </c>
      <c r="O20">
        <f t="shared" si="3"/>
        <v>0</v>
      </c>
      <c r="P20" s="9" t="str">
        <f t="shared" si="4"/>
        <v>One-time/Non-monthly</v>
      </c>
    </row>
    <row r="21" spans="1:16" x14ac:dyDescent="0.45">
      <c r="A21" s="3" t="b">
        <v>0</v>
      </c>
      <c r="B21">
        <v>1</v>
      </c>
      <c r="C21" t="s">
        <v>12</v>
      </c>
      <c r="D21" t="s">
        <v>25</v>
      </c>
      <c r="E21" t="s">
        <v>38</v>
      </c>
      <c r="F21">
        <v>400</v>
      </c>
      <c r="G21">
        <v>600</v>
      </c>
      <c r="H21">
        <v>800</v>
      </c>
      <c r="I21">
        <v>1200</v>
      </c>
      <c r="J21">
        <v>1500</v>
      </c>
      <c r="K21" s="9">
        <v>2500</v>
      </c>
      <c r="L21" s="3">
        <f t="shared" si="0"/>
        <v>400</v>
      </c>
      <c r="M21">
        <f t="shared" si="1"/>
        <v>600</v>
      </c>
      <c r="N21">
        <f t="shared" si="2"/>
        <v>600</v>
      </c>
      <c r="O21">
        <f t="shared" si="3"/>
        <v>0</v>
      </c>
      <c r="P21" s="9" t="str">
        <f t="shared" si="4"/>
        <v>One-time/Non-monthly</v>
      </c>
    </row>
    <row r="22" spans="1:16" x14ac:dyDescent="0.45">
      <c r="A22" s="3" t="b">
        <v>0</v>
      </c>
      <c r="B22">
        <v>1</v>
      </c>
      <c r="C22" t="s">
        <v>12</v>
      </c>
      <c r="D22" t="s">
        <v>26</v>
      </c>
      <c r="E22" t="s">
        <v>36</v>
      </c>
      <c r="F22">
        <v>400</v>
      </c>
      <c r="G22">
        <v>700</v>
      </c>
      <c r="H22">
        <v>800</v>
      </c>
      <c r="I22">
        <v>1000</v>
      </c>
      <c r="J22">
        <v>1200</v>
      </c>
      <c r="K22" s="9">
        <v>1500</v>
      </c>
      <c r="L22" s="3">
        <f t="shared" si="0"/>
        <v>400</v>
      </c>
      <c r="M22">
        <f t="shared" si="1"/>
        <v>700</v>
      </c>
      <c r="N22">
        <f t="shared" si="2"/>
        <v>700</v>
      </c>
      <c r="O22">
        <f t="shared" si="3"/>
        <v>0</v>
      </c>
      <c r="P22" s="9" t="str">
        <f t="shared" si="4"/>
        <v>One-time/Non-monthly</v>
      </c>
    </row>
    <row r="23" spans="1:16" x14ac:dyDescent="0.45">
      <c r="A23" s="3" t="b">
        <v>0</v>
      </c>
      <c r="B23">
        <v>1</v>
      </c>
      <c r="C23" t="s">
        <v>13</v>
      </c>
      <c r="D23" t="s">
        <v>27</v>
      </c>
      <c r="E23" t="s">
        <v>34</v>
      </c>
      <c r="F23">
        <v>1200</v>
      </c>
      <c r="G23">
        <v>2000</v>
      </c>
      <c r="H23">
        <v>2500</v>
      </c>
      <c r="I23">
        <v>5000</v>
      </c>
      <c r="J23">
        <v>6000</v>
      </c>
      <c r="K23" s="9">
        <v>9000</v>
      </c>
      <c r="L23" s="3">
        <f t="shared" si="0"/>
        <v>1200</v>
      </c>
      <c r="M23">
        <f t="shared" si="1"/>
        <v>2000</v>
      </c>
      <c r="N23">
        <f t="shared" si="2"/>
        <v>2000</v>
      </c>
      <c r="O23">
        <f t="shared" si="3"/>
        <v>0</v>
      </c>
      <c r="P23" s="9" t="str">
        <f t="shared" si="4"/>
        <v>Monthly</v>
      </c>
    </row>
    <row r="24" spans="1:16" x14ac:dyDescent="0.45">
      <c r="A24" s="3" t="b">
        <v>0</v>
      </c>
      <c r="B24">
        <v>1</v>
      </c>
      <c r="C24" t="s">
        <v>13</v>
      </c>
      <c r="D24" t="s">
        <v>28</v>
      </c>
      <c r="E24" t="s">
        <v>35</v>
      </c>
      <c r="F24">
        <v>1000</v>
      </c>
      <c r="G24">
        <v>2000</v>
      </c>
      <c r="H24">
        <v>2500</v>
      </c>
      <c r="I24">
        <v>3500</v>
      </c>
      <c r="J24">
        <v>4000</v>
      </c>
      <c r="K24" s="9">
        <v>6000</v>
      </c>
      <c r="L24" s="3">
        <f t="shared" si="0"/>
        <v>1000</v>
      </c>
      <c r="M24">
        <f t="shared" si="1"/>
        <v>2000</v>
      </c>
      <c r="N24">
        <f t="shared" si="2"/>
        <v>2000</v>
      </c>
      <c r="O24">
        <f t="shared" si="3"/>
        <v>0</v>
      </c>
      <c r="P24" s="9" t="str">
        <f t="shared" si="4"/>
        <v>One-time/Non-monthly</v>
      </c>
    </row>
    <row r="25" spans="1:16" x14ac:dyDescent="0.45">
      <c r="A25" s="3" t="b">
        <v>0</v>
      </c>
      <c r="B25">
        <v>1</v>
      </c>
      <c r="C25" t="s">
        <v>13</v>
      </c>
      <c r="D25" t="s">
        <v>29</v>
      </c>
      <c r="E25" t="s">
        <v>35</v>
      </c>
      <c r="F25">
        <v>800</v>
      </c>
      <c r="G25">
        <v>1200</v>
      </c>
      <c r="H25">
        <v>1800</v>
      </c>
      <c r="I25">
        <v>2500</v>
      </c>
      <c r="J25">
        <v>3000</v>
      </c>
      <c r="K25" s="9">
        <v>4000</v>
      </c>
      <c r="L25" s="3">
        <f t="shared" si="0"/>
        <v>800</v>
      </c>
      <c r="M25">
        <f t="shared" si="1"/>
        <v>1200</v>
      </c>
      <c r="N25">
        <f t="shared" si="2"/>
        <v>1200</v>
      </c>
      <c r="O25">
        <f t="shared" si="3"/>
        <v>0</v>
      </c>
      <c r="P25" s="9" t="str">
        <f t="shared" si="4"/>
        <v>One-time/Non-monthly</v>
      </c>
    </row>
    <row r="26" spans="1:16" x14ac:dyDescent="0.45">
      <c r="A26" s="3" t="b">
        <v>0</v>
      </c>
      <c r="B26">
        <v>1</v>
      </c>
      <c r="C26" t="s">
        <v>13</v>
      </c>
      <c r="D26" t="s">
        <v>30</v>
      </c>
      <c r="E26" t="s">
        <v>35</v>
      </c>
      <c r="F26">
        <v>2000</v>
      </c>
      <c r="G26">
        <v>3000</v>
      </c>
      <c r="H26">
        <v>3500</v>
      </c>
      <c r="I26">
        <v>5000</v>
      </c>
      <c r="J26">
        <v>6000</v>
      </c>
      <c r="K26" s="9">
        <v>8000</v>
      </c>
      <c r="L26" s="3">
        <f t="shared" si="0"/>
        <v>2000</v>
      </c>
      <c r="M26">
        <f t="shared" si="1"/>
        <v>3000</v>
      </c>
      <c r="N26">
        <f t="shared" si="2"/>
        <v>3000</v>
      </c>
      <c r="O26">
        <f t="shared" si="3"/>
        <v>0</v>
      </c>
      <c r="P26" s="9" t="str">
        <f t="shared" si="4"/>
        <v>One-time/Non-monthly</v>
      </c>
    </row>
    <row r="27" spans="1:16" x14ac:dyDescent="0.45">
      <c r="A27" s="3" t="b">
        <v>0</v>
      </c>
      <c r="B27">
        <v>1</v>
      </c>
      <c r="C27" t="s">
        <v>13</v>
      </c>
      <c r="D27" t="s">
        <v>31</v>
      </c>
      <c r="E27" t="s">
        <v>35</v>
      </c>
      <c r="F27">
        <v>2000</v>
      </c>
      <c r="G27">
        <v>3000</v>
      </c>
      <c r="H27">
        <v>3500</v>
      </c>
      <c r="I27">
        <v>5000</v>
      </c>
      <c r="J27">
        <v>5000</v>
      </c>
      <c r="K27" s="9">
        <v>7000</v>
      </c>
      <c r="L27" s="3">
        <f t="shared" si="0"/>
        <v>2000</v>
      </c>
      <c r="M27">
        <f t="shared" si="1"/>
        <v>3000</v>
      </c>
      <c r="N27">
        <f t="shared" si="2"/>
        <v>3000</v>
      </c>
      <c r="O27">
        <f t="shared" si="3"/>
        <v>0</v>
      </c>
      <c r="P27" s="9" t="str">
        <f t="shared" si="4"/>
        <v>One-time/Non-monthly</v>
      </c>
    </row>
    <row r="28" spans="1:16" x14ac:dyDescent="0.45">
      <c r="A28" s="3" t="b">
        <v>0</v>
      </c>
      <c r="B28">
        <v>1</v>
      </c>
      <c r="C28" t="s">
        <v>13</v>
      </c>
      <c r="D28" t="s">
        <v>32</v>
      </c>
      <c r="E28" t="s">
        <v>39</v>
      </c>
      <c r="F28">
        <v>1500</v>
      </c>
      <c r="G28">
        <v>2500</v>
      </c>
      <c r="H28">
        <v>2500</v>
      </c>
      <c r="I28">
        <v>4000</v>
      </c>
      <c r="J28">
        <v>4000</v>
      </c>
      <c r="K28" s="9">
        <v>6000</v>
      </c>
      <c r="L28" s="3">
        <f t="shared" si="0"/>
        <v>1500</v>
      </c>
      <c r="M28">
        <f t="shared" si="1"/>
        <v>2500</v>
      </c>
      <c r="N28">
        <f t="shared" si="2"/>
        <v>2500</v>
      </c>
      <c r="O28">
        <f t="shared" si="3"/>
        <v>0</v>
      </c>
      <c r="P28" s="9" t="str">
        <f t="shared" si="4"/>
        <v>One-time/Non-monthly</v>
      </c>
    </row>
    <row r="29" spans="1:16" x14ac:dyDescent="0.45">
      <c r="A29" s="3" t="b">
        <v>0</v>
      </c>
      <c r="B29">
        <v>1</v>
      </c>
      <c r="C29" t="s">
        <v>13</v>
      </c>
      <c r="D29" t="s">
        <v>33</v>
      </c>
      <c r="E29" t="s">
        <v>40</v>
      </c>
      <c r="F29">
        <v>250</v>
      </c>
      <c r="G29">
        <v>400</v>
      </c>
      <c r="H29">
        <v>400</v>
      </c>
      <c r="I29">
        <v>600</v>
      </c>
      <c r="J29">
        <v>600</v>
      </c>
      <c r="K29" s="9">
        <v>900</v>
      </c>
      <c r="L29" s="3">
        <f t="shared" si="0"/>
        <v>250</v>
      </c>
      <c r="M29">
        <f t="shared" si="1"/>
        <v>400</v>
      </c>
      <c r="N29">
        <f t="shared" si="2"/>
        <v>400</v>
      </c>
      <c r="O29">
        <f t="shared" si="3"/>
        <v>0</v>
      </c>
      <c r="P29" s="9" t="str">
        <f t="shared" si="4"/>
        <v>One-time/Non-monthly</v>
      </c>
    </row>
    <row r="30" spans="1:16" x14ac:dyDescent="0.45">
      <c r="A30" s="3" t="b">
        <v>0</v>
      </c>
      <c r="B30">
        <v>1</v>
      </c>
      <c r="C30" t="s">
        <v>164</v>
      </c>
      <c r="D30" t="s">
        <v>169</v>
      </c>
      <c r="E30" t="s">
        <v>35</v>
      </c>
      <c r="F30">
        <v>3000</v>
      </c>
      <c r="G30">
        <v>5000</v>
      </c>
      <c r="H30">
        <v>6000</v>
      </c>
      <c r="I30">
        <v>10000</v>
      </c>
      <c r="J30">
        <v>10000</v>
      </c>
      <c r="K30" s="9">
        <v>15000</v>
      </c>
      <c r="L30" s="3">
        <f t="shared" si="0"/>
        <v>3000</v>
      </c>
      <c r="M30">
        <f t="shared" si="1"/>
        <v>5000</v>
      </c>
      <c r="N30">
        <f t="shared" si="2"/>
        <v>5000</v>
      </c>
      <c r="O30">
        <f t="shared" si="3"/>
        <v>0</v>
      </c>
      <c r="P30" s="9" t="s">
        <v>196</v>
      </c>
    </row>
    <row r="31" spans="1:16" x14ac:dyDescent="0.45">
      <c r="A31" s="3" t="b">
        <v>0</v>
      </c>
      <c r="B31">
        <v>1</v>
      </c>
      <c r="C31" t="s">
        <v>165</v>
      </c>
      <c r="D31" t="s">
        <v>170</v>
      </c>
      <c r="E31" t="s">
        <v>35</v>
      </c>
      <c r="F31">
        <v>2500</v>
      </c>
      <c r="G31">
        <v>4000</v>
      </c>
      <c r="H31">
        <v>5000</v>
      </c>
      <c r="I31">
        <v>8000</v>
      </c>
      <c r="J31">
        <v>8000</v>
      </c>
      <c r="K31" s="9">
        <v>12000</v>
      </c>
      <c r="L31" s="3">
        <f t="shared" si="0"/>
        <v>2500</v>
      </c>
      <c r="M31">
        <f t="shared" si="1"/>
        <v>4000</v>
      </c>
      <c r="N31">
        <f t="shared" si="2"/>
        <v>4000</v>
      </c>
      <c r="O31">
        <f t="shared" si="3"/>
        <v>0</v>
      </c>
      <c r="P31" s="9" t="s">
        <v>196</v>
      </c>
    </row>
    <row r="32" spans="1:16" x14ac:dyDescent="0.45">
      <c r="A32" s="3" t="b">
        <v>0</v>
      </c>
      <c r="B32">
        <v>1</v>
      </c>
      <c r="C32" t="s">
        <v>166</v>
      </c>
      <c r="E32" t="s">
        <v>35</v>
      </c>
      <c r="F32">
        <v>2000</v>
      </c>
      <c r="G32">
        <v>3000</v>
      </c>
      <c r="H32">
        <v>4000</v>
      </c>
      <c r="I32">
        <v>6000</v>
      </c>
      <c r="J32">
        <v>6000</v>
      </c>
      <c r="K32" s="9">
        <v>9000</v>
      </c>
      <c r="L32" s="3">
        <f t="shared" si="0"/>
        <v>2000</v>
      </c>
      <c r="M32">
        <f t="shared" si="1"/>
        <v>3000</v>
      </c>
      <c r="N32">
        <f t="shared" si="2"/>
        <v>3000</v>
      </c>
      <c r="O32">
        <f t="shared" si="3"/>
        <v>0</v>
      </c>
      <c r="P32" s="9" t="s">
        <v>196</v>
      </c>
    </row>
    <row r="33" spans="1:16" x14ac:dyDescent="0.45">
      <c r="A33" s="3" t="b">
        <v>0</v>
      </c>
      <c r="B33">
        <v>1</v>
      </c>
      <c r="C33" t="s">
        <v>167</v>
      </c>
      <c r="E33" t="s">
        <v>35</v>
      </c>
      <c r="F33">
        <v>3000</v>
      </c>
      <c r="G33">
        <v>5000</v>
      </c>
      <c r="H33">
        <v>6000</v>
      </c>
      <c r="I33">
        <v>9000</v>
      </c>
      <c r="J33">
        <v>10000</v>
      </c>
      <c r="K33" s="9">
        <v>15000</v>
      </c>
      <c r="L33" s="3">
        <f t="shared" si="0"/>
        <v>3000</v>
      </c>
      <c r="M33">
        <f t="shared" si="1"/>
        <v>5000</v>
      </c>
      <c r="N33">
        <f t="shared" si="2"/>
        <v>5000</v>
      </c>
      <c r="O33">
        <f t="shared" si="3"/>
        <v>0</v>
      </c>
      <c r="P33" s="9" t="s">
        <v>196</v>
      </c>
    </row>
    <row r="34" spans="1:16" x14ac:dyDescent="0.45">
      <c r="A34" s="3" t="b">
        <v>0</v>
      </c>
      <c r="B34">
        <v>1</v>
      </c>
      <c r="C34" t="s">
        <v>168</v>
      </c>
      <c r="D34" t="s">
        <v>171</v>
      </c>
      <c r="E34" t="s">
        <v>40</v>
      </c>
      <c r="F34">
        <v>500</v>
      </c>
      <c r="G34">
        <v>800</v>
      </c>
      <c r="H34">
        <v>1000</v>
      </c>
      <c r="I34">
        <v>15000</v>
      </c>
      <c r="J34">
        <v>2000</v>
      </c>
      <c r="K34" s="9">
        <v>3000</v>
      </c>
      <c r="L34" s="3">
        <f t="shared" si="0"/>
        <v>500</v>
      </c>
      <c r="M34">
        <f t="shared" si="1"/>
        <v>800</v>
      </c>
      <c r="N34">
        <f t="shared" si="2"/>
        <v>800</v>
      </c>
      <c r="O34">
        <f t="shared" si="3"/>
        <v>0</v>
      </c>
      <c r="P34" s="9" t="s">
        <v>196</v>
      </c>
    </row>
    <row r="35" spans="1:16" x14ac:dyDescent="0.45">
      <c r="A35" s="3" t="b">
        <v>0</v>
      </c>
      <c r="B35">
        <v>1</v>
      </c>
      <c r="C35" s="28" t="s">
        <v>185</v>
      </c>
      <c r="D35" s="28" t="s">
        <v>186</v>
      </c>
      <c r="E35" t="s">
        <v>195</v>
      </c>
      <c r="F35">
        <v>50</v>
      </c>
      <c r="G35">
        <v>100</v>
      </c>
      <c r="H35">
        <v>100</v>
      </c>
      <c r="I35">
        <v>150</v>
      </c>
      <c r="J35">
        <v>200</v>
      </c>
      <c r="K35" s="9">
        <v>500</v>
      </c>
      <c r="L35" s="3">
        <f t="shared" si="0"/>
        <v>50</v>
      </c>
      <c r="M35">
        <f t="shared" si="1"/>
        <v>100</v>
      </c>
      <c r="N35">
        <f t="shared" si="2"/>
        <v>100</v>
      </c>
      <c r="O35">
        <f t="shared" si="3"/>
        <v>0</v>
      </c>
      <c r="P35" s="9" t="s">
        <v>196</v>
      </c>
    </row>
    <row r="36" spans="1:16" x14ac:dyDescent="0.45">
      <c r="A36" s="3" t="b">
        <v>0</v>
      </c>
      <c r="B36">
        <v>1</v>
      </c>
      <c r="C36" s="28" t="s">
        <v>187</v>
      </c>
      <c r="D36" s="28"/>
      <c r="E36" t="s">
        <v>195</v>
      </c>
      <c r="F36">
        <v>15</v>
      </c>
      <c r="G36">
        <v>20</v>
      </c>
      <c r="H36">
        <v>25</v>
      </c>
      <c r="I36">
        <v>40</v>
      </c>
      <c r="J36">
        <v>60</v>
      </c>
      <c r="K36" s="9">
        <v>90</v>
      </c>
      <c r="L36" s="3">
        <f t="shared" si="0"/>
        <v>15</v>
      </c>
      <c r="M36">
        <f t="shared" si="1"/>
        <v>20</v>
      </c>
      <c r="N36">
        <f t="shared" si="2"/>
        <v>20</v>
      </c>
      <c r="O36">
        <f t="shared" si="3"/>
        <v>0</v>
      </c>
      <c r="P36" s="9" t="s">
        <v>196</v>
      </c>
    </row>
    <row r="37" spans="1:16" x14ac:dyDescent="0.45">
      <c r="A37" s="3" t="b">
        <v>0</v>
      </c>
      <c r="B37">
        <v>1</v>
      </c>
      <c r="C37" s="28" t="s">
        <v>188</v>
      </c>
      <c r="D37" s="28" t="s">
        <v>189</v>
      </c>
      <c r="E37" t="s">
        <v>195</v>
      </c>
      <c r="F37">
        <v>25</v>
      </c>
      <c r="G37">
        <v>40</v>
      </c>
      <c r="H37">
        <v>50</v>
      </c>
      <c r="I37">
        <v>75</v>
      </c>
      <c r="J37">
        <v>90</v>
      </c>
      <c r="K37" s="9">
        <v>130</v>
      </c>
      <c r="L37" s="3">
        <f t="shared" si="0"/>
        <v>25</v>
      </c>
      <c r="M37">
        <f t="shared" si="1"/>
        <v>40</v>
      </c>
      <c r="N37">
        <f t="shared" si="2"/>
        <v>40</v>
      </c>
      <c r="O37">
        <f t="shared" si="3"/>
        <v>0</v>
      </c>
      <c r="P37" s="9" t="s">
        <v>196</v>
      </c>
    </row>
    <row r="38" spans="1:16" x14ac:dyDescent="0.45">
      <c r="A38" s="3" t="b">
        <v>0</v>
      </c>
      <c r="B38">
        <v>1</v>
      </c>
      <c r="C38" s="28" t="s">
        <v>190</v>
      </c>
      <c r="D38" s="28" t="s">
        <v>191</v>
      </c>
      <c r="E38" t="s">
        <v>195</v>
      </c>
      <c r="F38">
        <v>40</v>
      </c>
      <c r="G38">
        <v>60</v>
      </c>
      <c r="H38">
        <v>70</v>
      </c>
      <c r="I38">
        <v>100</v>
      </c>
      <c r="J38">
        <v>110</v>
      </c>
      <c r="K38" s="9">
        <v>150</v>
      </c>
      <c r="L38" s="3">
        <f t="shared" si="0"/>
        <v>40</v>
      </c>
      <c r="M38">
        <f t="shared" si="1"/>
        <v>60</v>
      </c>
      <c r="N38">
        <f t="shared" si="2"/>
        <v>60</v>
      </c>
      <c r="O38">
        <f t="shared" si="3"/>
        <v>0</v>
      </c>
      <c r="P38" s="9" t="s">
        <v>196</v>
      </c>
    </row>
    <row r="39" spans="1:16" x14ac:dyDescent="0.45">
      <c r="A39" s="3" t="b">
        <v>0</v>
      </c>
      <c r="B39">
        <v>1</v>
      </c>
      <c r="C39" s="28" t="s">
        <v>193</v>
      </c>
      <c r="D39" s="28" t="s">
        <v>192</v>
      </c>
      <c r="E39" t="s">
        <v>195</v>
      </c>
      <c r="F39">
        <v>70</v>
      </c>
      <c r="G39">
        <v>100</v>
      </c>
      <c r="H39">
        <v>120</v>
      </c>
      <c r="I39">
        <v>180</v>
      </c>
      <c r="J39">
        <v>220</v>
      </c>
      <c r="K39" s="9">
        <v>300</v>
      </c>
      <c r="L39" s="3">
        <f t="shared" si="0"/>
        <v>70</v>
      </c>
      <c r="M39">
        <f t="shared" si="1"/>
        <v>100</v>
      </c>
      <c r="N39">
        <f t="shared" si="2"/>
        <v>100</v>
      </c>
      <c r="O39">
        <f t="shared" si="3"/>
        <v>0</v>
      </c>
      <c r="P39" s="9" t="s">
        <v>196</v>
      </c>
    </row>
    <row r="40" spans="1:16" x14ac:dyDescent="0.45">
      <c r="A40" s="4" t="b">
        <v>0</v>
      </c>
      <c r="B40" s="2">
        <v>1</v>
      </c>
      <c r="C40" s="34" t="s">
        <v>194</v>
      </c>
      <c r="D40" s="34"/>
      <c r="E40" s="2" t="s">
        <v>195</v>
      </c>
      <c r="F40" s="2">
        <v>15</v>
      </c>
      <c r="G40" s="2">
        <v>20</v>
      </c>
      <c r="H40" s="2">
        <v>25</v>
      </c>
      <c r="I40" s="2">
        <v>40</v>
      </c>
      <c r="J40" s="2">
        <v>60</v>
      </c>
      <c r="K40" s="10">
        <v>90</v>
      </c>
      <c r="L40" s="4">
        <f t="shared" si="0"/>
        <v>15</v>
      </c>
      <c r="M40" s="2">
        <f t="shared" si="1"/>
        <v>20</v>
      </c>
      <c r="N40" s="2">
        <f t="shared" si="2"/>
        <v>20</v>
      </c>
      <c r="O40" s="2">
        <f t="shared" si="3"/>
        <v>0</v>
      </c>
      <c r="P40" s="10" t="s">
        <v>196</v>
      </c>
    </row>
    <row r="41" spans="1:16" x14ac:dyDescent="0.45">
      <c r="F41" s="28"/>
      <c r="G41" s="28"/>
      <c r="H41" s="28"/>
    </row>
    <row r="42" spans="1:16" x14ac:dyDescent="0.45">
      <c r="A42" s="29"/>
      <c r="B42" s="29"/>
      <c r="C42" s="29"/>
      <c r="D42" s="29"/>
      <c r="E42" s="29"/>
    </row>
    <row r="43" spans="1:16" x14ac:dyDescent="0.45">
      <c r="A43" s="27"/>
      <c r="B43" s="27"/>
      <c r="C43" s="27"/>
      <c r="D43" s="28"/>
      <c r="E43" s="28"/>
    </row>
    <row r="44" spans="1:16" x14ac:dyDescent="0.45">
      <c r="A44" s="27"/>
      <c r="B44" s="27"/>
      <c r="C44" s="28"/>
      <c r="D44" s="27"/>
      <c r="E44" s="28"/>
    </row>
    <row r="45" spans="1:16" x14ac:dyDescent="0.45">
      <c r="A45" s="27"/>
      <c r="B45" s="27"/>
      <c r="C45" s="28"/>
      <c r="D45" s="27"/>
      <c r="E45" s="28"/>
    </row>
    <row r="46" spans="1:16" x14ac:dyDescent="0.45">
      <c r="A46" s="27"/>
      <c r="B46" s="27"/>
      <c r="C46" s="27"/>
      <c r="D46" s="27"/>
      <c r="E46" s="27"/>
    </row>
  </sheetData>
  <mergeCells count="3">
    <mergeCell ref="A8:K8"/>
    <mergeCell ref="L8:P8"/>
    <mergeCell ref="C2:D2"/>
  </mergeCells>
  <dataValidations count="2">
    <dataValidation type="list" allowBlank="1" showInputMessage="1" showErrorMessage="1" sqref="C4" xr:uid="{00000000-0002-0000-0000-000000000000}">
      <formula1>"Solo/Startup,Small Business,Mid-Market"</formula1>
    </dataValidation>
    <dataValidation type="list" allowBlank="1" showInputMessage="1" showErrorMessage="1" sqref="D4" xr:uid="{00000000-0002-0000-0000-000001000000}">
      <formula1>"Low,Midpoint,High"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Breakdown</vt:lpstr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Mayr</dc:creator>
  <cp:lastModifiedBy>Natasha Mayr</cp:lastModifiedBy>
  <dcterms:created xsi:type="dcterms:W3CDTF">2025-10-31T19:14:03Z</dcterms:created>
  <dcterms:modified xsi:type="dcterms:W3CDTF">2025-11-09T04:57:29Z</dcterms:modified>
</cp:coreProperties>
</file>